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
    </mc:Choice>
  </mc:AlternateContent>
  <xr:revisionPtr revIDLastSave="0" documentId="13_ncr:1_{28BFDA7C-E7EE-4ACF-A099-FD44A73DA4A0}" xr6:coauthVersionLast="47" xr6:coauthVersionMax="47" xr10:uidLastSave="{00000000-0000-0000-0000-000000000000}"/>
  <bookViews>
    <workbookView xWindow="-110" yWindow="-110" windowWidth="19420" windowHeight="10300" tabRatio="500" firstSheet="4" activeTab="6" xr2:uid="{00000000-000D-0000-FFFF-FFFF00000000}"/>
  </bookViews>
  <sheets>
    <sheet name="📋 Session Setup" sheetId="1" r:id="rId1"/>
    <sheet name="📱 Structured — App 1" sheetId="2" r:id="rId2"/>
    <sheet name="📱 Structured — App 2" sheetId="3" r:id="rId3"/>
    <sheet name="App 1 (All 8)" sheetId="4" r:id="rId4"/>
    <sheet name="App 2 (All 8)" sheetId="5" r:id="rId5"/>
    <sheet name="📊 Comparative" sheetId="6" r:id="rId6"/>
    <sheet name="💡 Recommendations" sheetId="7" r:id="rId7"/>
    <sheet name="📄 Report Outline" sheetId="8" r:id="rId8"/>
    <sheet name="🏆 Grading Rubric" sheetId="9" r:id="rId9"/>
    <sheet name="📖 ISO 25010 Reference" sheetId="10" r:id="rId10"/>
  </sheets>
  <definedNames>
    <definedName name="score">'📱 Structured — App 2'!$E$52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9" l="1"/>
  <c r="E31" i="6"/>
  <c r="G31" i="6" s="1"/>
  <c r="D31" i="6"/>
  <c r="F31" i="6" s="1"/>
  <c r="E30" i="6"/>
  <c r="D30" i="6"/>
  <c r="F30" i="6" s="1"/>
  <c r="E29" i="6"/>
  <c r="D29" i="6"/>
  <c r="F29" i="6" s="1"/>
  <c r="E28" i="6"/>
  <c r="G28" i="6" s="1"/>
  <c r="D28" i="6"/>
  <c r="F28" i="6" s="1"/>
  <c r="E27" i="6"/>
  <c r="D27" i="6"/>
  <c r="F27" i="6" s="1"/>
  <c r="E26" i="6"/>
  <c r="G26" i="6" s="1"/>
  <c r="D26" i="6"/>
  <c r="F26" i="6" s="1"/>
  <c r="E25" i="6"/>
  <c r="D25" i="6"/>
  <c r="F25" i="6" s="1"/>
  <c r="E24" i="6"/>
  <c r="D24" i="6"/>
  <c r="F24" i="6" s="1"/>
  <c r="D19" i="6"/>
  <c r="G17" i="6"/>
  <c r="F17" i="6"/>
  <c r="G16" i="6"/>
  <c r="F16" i="6"/>
  <c r="G15" i="6"/>
  <c r="G14" i="6"/>
  <c r="F14" i="6"/>
  <c r="G12" i="6"/>
  <c r="F12" i="6"/>
  <c r="G11" i="6"/>
  <c r="F11" i="6"/>
  <c r="F10" i="6"/>
  <c r="F20" i="5"/>
  <c r="F17" i="5"/>
  <c r="G19" i="6" l="1"/>
  <c r="F21" i="5"/>
  <c r="F21" i="4"/>
  <c r="F19" i="6"/>
</calcChain>
</file>

<file path=xl/sharedStrings.xml><?xml version="1.0" encoding="utf-8"?>
<sst xmlns="http://schemas.openxmlformats.org/spreadsheetml/2006/main" count="1218" uniqueCount="750">
  <si>
    <t>SQE Lab Session 2 — ISO 25010 Quality Attribute Analysis</t>
  </si>
  <si>
    <t>Software Quality Engineering  |  Lab Manual  |  Engr. Asim Javaid</t>
  </si>
  <si>
    <t xml:space="preserve">  STUDENT INFORMATION</t>
  </si>
  <si>
    <t>Evaluator Full Name</t>
  </si>
  <si>
    <t>Student ID</t>
  </si>
  <si>
    <t>Section / Group</t>
  </si>
  <si>
    <t>Date of Evaluation</t>
  </si>
  <si>
    <t>Device Model</t>
  </si>
  <si>
    <t>OS Version</t>
  </si>
  <si>
    <t>Network Conditions</t>
  </si>
  <si>
    <t xml:space="preserve">  APPLICATION PAIR SELECTION</t>
  </si>
  <si>
    <t>Choose ONE pair below. Circle / highlight your selection.</t>
  </si>
  <si>
    <t>Pair</t>
  </si>
  <si>
    <t>App 1</t>
  </si>
  <si>
    <t>App 2</t>
  </si>
  <si>
    <t>Primary Focus</t>
  </si>
  <si>
    <t>A</t>
  </si>
  <si>
    <t>WhatsApp</t>
  </si>
  <si>
    <t>Telegram</t>
  </si>
  <si>
    <t>Security, Usability, Reliability — closed vs open E2E encryption</t>
  </si>
  <si>
    <t>B</t>
  </si>
  <si>
    <t>Google Maps</t>
  </si>
  <si>
    <t>Apple Maps</t>
  </si>
  <si>
    <t>Performance, Compatibility, Usability — navigation design philosophies</t>
  </si>
  <si>
    <t>C</t>
  </si>
  <si>
    <t>Gmail</t>
  </si>
  <si>
    <t>Outlook Mobile</t>
  </si>
  <si>
    <t>Functional Suitability, Usability, Portability — email client comparison</t>
  </si>
  <si>
    <t>D</t>
  </si>
  <si>
    <t>Chrome Mobile</t>
  </si>
  <si>
    <t>Safari</t>
  </si>
  <si>
    <t>Performance, Compatibility, Security — native vs cross-platform</t>
  </si>
  <si>
    <t>E</t>
  </si>
  <si>
    <t>Spotify</t>
  </si>
  <si>
    <t>YouTube Music</t>
  </si>
  <si>
    <t>Performance, Reliability, Usability — streaming service quality</t>
  </si>
  <si>
    <t>F</t>
  </si>
  <si>
    <t>University App 1</t>
  </si>
  <si>
    <t>University App 2</t>
  </si>
  <si>
    <t>Full ISO 25010 analysis — choose any two university-context apps</t>
  </si>
  <si>
    <t xml:space="preserve">  SELECTED PAIR — Fill in below</t>
  </si>
  <si>
    <t>Pair Letter</t>
  </si>
  <si>
    <t>App 1 Name</t>
  </si>
  <si>
    <t>App 2 Name</t>
  </si>
  <si>
    <t xml:space="preserve">  APP VERSION METADATA</t>
  </si>
  <si>
    <t>Field</t>
  </si>
  <si>
    <t>App Name</t>
  </si>
  <si>
    <t>Version Number</t>
  </si>
  <si>
    <t>Platform</t>
  </si>
  <si>
    <t>Min OS Required</t>
  </si>
  <si>
    <t>App Store Rating</t>
  </si>
  <si>
    <t>Last Updated</t>
  </si>
  <si>
    <t xml:space="preserve">  PRE-LAB CHECKLIST</t>
  </si>
  <si>
    <t>#</t>
  </si>
  <si>
    <t>Task</t>
  </si>
  <si>
    <t>When</t>
  </si>
  <si>
    <t>Status (✓ / ✗)</t>
  </si>
  <si>
    <t>1</t>
  </si>
  <si>
    <t>Read ISO/IEC 25010 Sections 1–4 overview</t>
  </si>
  <si>
    <t>Before Lab</t>
  </si>
  <si>
    <t>2</t>
  </si>
  <si>
    <t>Identify 3 daily apps &amp; note one quality concern each</t>
  </si>
  <si>
    <t>3</t>
  </si>
  <si>
    <t>Ensure both apps in chosen pair are installed on device</t>
  </si>
  <si>
    <t>4</t>
  </si>
  <si>
    <t>Bring device with stopwatch / timer capability</t>
  </si>
  <si>
    <t>Lab Start</t>
  </si>
  <si>
    <t>5</t>
  </si>
  <si>
    <t>Have GitHub repository from Lab 1 open (week2/ folder)</t>
  </si>
  <si>
    <t>6</t>
  </si>
  <si>
    <t>Install matplotlib: pip install matplotlib numpy</t>
  </si>
  <si>
    <t xml:space="preserve">  RATING SCALE QUICK REFERENCE</t>
  </si>
  <si>
    <t>Rating</t>
  </si>
  <si>
    <t>Label</t>
  </si>
  <si>
    <t>Definition</t>
  </si>
  <si>
    <t>Example Evidence</t>
  </si>
  <si>
    <t>Excellent</t>
  </si>
  <si>
    <t>Exceeds expectations. Fully &amp; consistently satisfied.</t>
  </si>
  <si>
    <t>App launches &lt;1s; 2FA enabled; zero crashes in 10-min session</t>
  </si>
  <si>
    <t>Good</t>
  </si>
  <si>
    <t>Mostly satisfied. Minor issues, rarely noticeable.</t>
  </si>
  <si>
    <t>Occasional 2s load; settings menu slightly hard to find</t>
  </si>
  <si>
    <t>Acceptable</t>
  </si>
  <si>
    <t>Partially satisfied. Noticeable but system remains usable.</t>
  </si>
  <si>
    <t>Crashes once per 10 min; offline shows stale data</t>
  </si>
  <si>
    <t>Poor</t>
  </si>
  <si>
    <t>Mostly unsatisfied. Significant issues degrade quality.</t>
  </si>
  <si>
    <t>Crashes twice in 5 min; loading takes 8+ seconds</t>
  </si>
  <si>
    <t>Unacceptable</t>
  </si>
  <si>
    <t>Critical failures. Characteristic essentially absent.</t>
  </si>
  <si>
    <t>Data wiped on restart; cannot perform primary purpose</t>
  </si>
  <si>
    <t>App 1 Evaluation (Characteristics 1–8)</t>
  </si>
  <si>
    <t>50 min  |  Individual — use your own device  |  Min. 3 observations per characteristic</t>
  </si>
  <si>
    <t xml:space="preserve">  APP 1 METADATA</t>
  </si>
  <si>
    <t>Evaluation Date</t>
  </si>
  <si>
    <t>Start Time</t>
  </si>
  <si>
    <t>Feature / Use Case to Test</t>
  </si>
  <si>
    <t>How to Test</t>
  </si>
  <si>
    <t>Pass / Fail / Partial</t>
  </si>
  <si>
    <t>Notes</t>
  </si>
  <si>
    <t>Evidence Screenshot</t>
  </si>
  <si>
    <t>Primary core function</t>
  </si>
  <si>
    <t>Secondary feature 1</t>
  </si>
  <si>
    <t>Secondary feature 2</t>
  </si>
  <si>
    <t>Error handling</t>
  </si>
  <si>
    <t>Edge case</t>
  </si>
  <si>
    <t>Justification:</t>
  </si>
  <si>
    <t xml:space="preserve">  B.3 CHARACTERISTIC 2 — Performance Efficiency (Weight: 12%)</t>
  </si>
  <si>
    <t>Measurement</t>
  </si>
  <si>
    <t>Test Method</t>
  </si>
  <si>
    <t>Your Result</t>
  </si>
  <si>
    <t>Target (Rating 4+)</t>
  </si>
  <si>
    <t>Cold start time</t>
  </si>
  <si>
    <t>Stopwatch: tap app icon → fully usable screen</t>
  </si>
  <si>
    <t>&lt; 3 seconds</t>
  </si>
  <si>
    <t>Key operation 1 (primary)</t>
  </si>
  <si>
    <t>Time the main action (search/send/load feed)</t>
  </si>
  <si>
    <t>&lt; 1 second</t>
  </si>
  <si>
    <t>Key operation 2 (secondary)</t>
  </si>
  <si>
    <t>Time a secondary action (navigate/load image)</t>
  </si>
  <si>
    <t>&lt; 2 seconds</t>
  </si>
  <si>
    <t>Battery drain</t>
  </si>
  <si>
    <t>Device Settings &gt; Battery: % used in 10 min active use</t>
  </si>
  <si>
    <t>&lt; 3%</t>
  </si>
  <si>
    <t>Slow network</t>
  </si>
  <si>
    <t>Switch to 4G only / poor signal — time key operation</t>
  </si>
  <si>
    <t>&lt; 5 seconds</t>
  </si>
  <si>
    <t>Data usage</t>
  </si>
  <si>
    <t>Device Settings &gt; Data: MB used in 10 min active use</t>
  </si>
  <si>
    <t>&lt; 10 MB</t>
  </si>
  <si>
    <t xml:space="preserve">  B.4 CHARACTERISTIC 3 — Compatibility (Weight: 10%)</t>
  </si>
  <si>
    <t>Compatibility Check</t>
  </si>
  <si>
    <t>What to Look For</t>
  </si>
  <si>
    <t>Result</t>
  </si>
  <si>
    <t>Min OS version</t>
  </si>
  <si>
    <t>Check Play Store / App Store listing for minimum supported OS</t>
  </si>
  <si>
    <t>Platform availability</t>
  </si>
  <si>
    <t>List all platforms: Android, iOS, Windows, macOS, Web, Linux</t>
  </si>
  <si>
    <t>Cross-device sync</t>
  </si>
  <si>
    <t>Log in on a 2nd device — do data &amp; settings appear?</t>
  </si>
  <si>
    <t>Content sharing (in)</t>
  </si>
  <si>
    <t>Can you share content FROM other apps INTO this app?</t>
  </si>
  <si>
    <t>Content sharing (out)</t>
  </si>
  <si>
    <t>Can you share content FROM this app to 3+ other apps?</t>
  </si>
  <si>
    <t>Dark mode support</t>
  </si>
  <si>
    <t>Does the app respect your OS dark mode / accessibility settings?</t>
  </si>
  <si>
    <t>OS version compat.</t>
  </si>
  <si>
    <t>Any features broken on your specific OS version?</t>
  </si>
  <si>
    <t xml:space="preserve">  B.5 CHARACTERISTIC 4 — Usability (Weight: 15%)</t>
  </si>
  <si>
    <t>Task Description</t>
  </si>
  <si>
    <t>Time (sec)</t>
  </si>
  <si>
    <t>Errors Made</t>
  </si>
  <si>
    <t>Completed?</t>
  </si>
  <si>
    <t>Task 1</t>
  </si>
  <si>
    <t>Find and change a core setting (notifications / theme / privacy)</t>
  </si>
  <si>
    <t>Task 2</t>
  </si>
  <si>
    <t>Perform the primary function for the FIRST time (new message / playlist / route)</t>
  </si>
  <si>
    <t>Task 3</t>
  </si>
  <si>
    <t>Find the Help or Support section</t>
  </si>
  <si>
    <t>Task 4</t>
  </si>
  <si>
    <t>Share content FROM this app to another app</t>
  </si>
  <si>
    <t>Task 5</t>
  </si>
  <si>
    <t>Delete an item (message, account entry, saved item)</t>
  </si>
  <si>
    <t xml:space="preserve">  ADDITIONAL USABILITY CHECKS</t>
  </si>
  <si>
    <t>UI Check</t>
  </si>
  <si>
    <t>What to Evaluate</t>
  </si>
  <si>
    <t>Observation</t>
  </si>
  <si>
    <t>Rating Impact</t>
  </si>
  <si>
    <t>Score</t>
  </si>
  <si>
    <t>Error messages</t>
  </si>
  <si>
    <t>Are error messages clear and explain how to fix the issue?</t>
  </si>
  <si>
    <t>Visual hierarchy</t>
  </si>
  <si>
    <t>Is the most important info most prominent on key screens?</t>
  </si>
  <si>
    <t>Onboarding</t>
  </si>
  <si>
    <t>Is there any in-app onboarding / tutorial for new users?</t>
  </si>
  <si>
    <t>Accessibility</t>
  </si>
  <si>
    <t>Does the app support large text, high contrast, screen reader?</t>
  </si>
  <si>
    <t xml:space="preserve">  B.6 CHARACTERISTIC 5 — Reliability (Weight: 15%)</t>
  </si>
  <si>
    <t>Check</t>
  </si>
  <si>
    <t>10-min continuous use</t>
  </si>
  <si>
    <t>Use app continuously for 10 minutes — note any crashes or freezes</t>
  </si>
  <si>
    <t>Airplane Mode test</t>
  </si>
  <si>
    <t>Enable Airplane Mode mid-session — observe how app handles no connectivity</t>
  </si>
  <si>
    <t>Reconnect recovery</t>
  </si>
  <si>
    <t>Re-enable connectivity — does the app recover gracefully and sync data?</t>
  </si>
  <si>
    <t>Force-close mid-task</t>
  </si>
  <si>
    <t>Force-close the app mid-task — is your progress saved when you reopen?</t>
  </si>
  <si>
    <t>Server error messaging</t>
  </si>
  <si>
    <t>Check if the app shows meaningful error messages when server is unreachable</t>
  </si>
  <si>
    <t xml:space="preserve">  B.7 CHARACTERISTIC 6 — Security (Weight: 15%)</t>
  </si>
  <si>
    <t>HTTPS / encryption</t>
  </si>
  <si>
    <t>Check: does the app use HTTPS? (look for padlock in web version)</t>
  </si>
  <si>
    <t>Permissions audit</t>
  </si>
  <si>
    <t>Review permission list in OS settings — are all permissions justified by the app's purpose?</t>
  </si>
  <si>
    <t>2FA / biometrics</t>
  </si>
  <si>
    <t>Check: is 2FA / biometric login available in settings?</t>
  </si>
  <si>
    <t>Privacy policy review</t>
  </si>
  <si>
    <t>Review Privacy Policy — what data is collected? Is it sold to third parties?</t>
  </si>
  <si>
    <t>Login lockout</t>
  </si>
  <si>
    <t>Test: what happens after 3 incorrect password attempts?</t>
  </si>
  <si>
    <t>Auto-lock on inactivity</t>
  </si>
  <si>
    <t>Check: does the app lock automatically after a period of inactivity?</t>
  </si>
  <si>
    <t xml:space="preserve">  B.8 CHARACTERISTIC 7 — Maintainability (Weight: 8%)</t>
  </si>
  <si>
    <t>Update frequency</t>
  </si>
  <si>
    <t>Check app's update history: how frequently are updates released?</t>
  </si>
  <si>
    <t>Changelog quality</t>
  </si>
  <si>
    <t>Read release notes / changelog: are bug fixes clearly documented with specific details?</t>
  </si>
  <si>
    <t>Open bugs review</t>
  </si>
  <si>
    <t>Check app store reviews mentioning long-standing unfixed bugs</t>
  </si>
  <si>
    <t>CVE response history</t>
  </si>
  <si>
    <t>Note how quickly the developer responded to critical security vulnerabilities historically</t>
  </si>
  <si>
    <t>Bug tracker / channel</t>
  </si>
  <si>
    <t>Check if a public bug tracker or feedback channel exists</t>
  </si>
  <si>
    <t xml:space="preserve">  B.9 CHARACTERISTIC 8 — Portability (Weight: 10%)</t>
  </si>
  <si>
    <t>Platform support</t>
  </si>
  <si>
    <t>Check which platforms app supports: iOS, Android, Windows, macOS, Web, Linux?</t>
  </si>
  <si>
    <t>Install / uninstall</t>
  </si>
  <si>
    <t>Test installation and uninstallation process — is it clean with no residual files?</t>
  </si>
  <si>
    <t>Cross-device data sync</t>
  </si>
  <si>
    <t>Check if settings and data sync across devices automatically</t>
  </si>
  <si>
    <t>Accessibility sync</t>
  </si>
  <si>
    <t>Verify the app respects system accessibility settings (font size, dark mode)</t>
  </si>
  <si>
    <t>App 2 Evaluation (Characteristics 1–8)</t>
  </si>
  <si>
    <t xml:space="preserve">  APP 2 METADATA</t>
  </si>
  <si>
    <t xml:space="preserve">  C.3 CHARACTERISTIC 1 — Functional Suitability (Weight: 15%)</t>
  </si>
  <si>
    <t xml:space="preserve">  C.4 CHARACTERISTIC 2 — Performance Efficiency (Weight: 12%)</t>
  </si>
  <si>
    <t xml:space="preserve">  C.5 CHARACTERISTIC 3 — Compatibility (Weight: 10%)</t>
  </si>
  <si>
    <t xml:space="preserve">  C.6 CHARACTERISTIC 4 — Usability (Weight: 15%)</t>
  </si>
  <si>
    <t xml:space="preserve">  C.7 CHARACTERISTIC 5 — Reliability (Weight: 15%)</t>
  </si>
  <si>
    <t xml:space="preserve">  C.8 CHARACTERISTIC 6 — Security (Weight: 15%)</t>
  </si>
  <si>
    <t xml:space="preserve">  C.9 CHARACTERISTIC 7 — Maintainability (Weight: 8%)</t>
  </si>
  <si>
    <t xml:space="preserve">  C.10 CHARACTERISTIC 8 — Portability (Weight: 10%)</t>
  </si>
  <si>
    <t>App 1 — All 8 ISO 25010 Characteristics</t>
  </si>
  <si>
    <t>Complete all 8 characteristics with rating AND evidence before moving to Exp D</t>
  </si>
  <si>
    <t xml:space="preserve">  APP METADATA</t>
  </si>
  <si>
    <t>Version</t>
  </si>
  <si>
    <t>Device</t>
  </si>
  <si>
    <t>Date</t>
  </si>
  <si>
    <t xml:space="preserve">  FULL EVALUATION CHECKLIST</t>
  </si>
  <si>
    <t>Quality Characteristic (ISO 25010)</t>
  </si>
  <si>
    <t>Rating
(1–5)</t>
  </si>
  <si>
    <t>Weight</t>
  </si>
  <si>
    <t>Observations / Evidence  (min. 2 specific points)</t>
  </si>
  <si>
    <t>Weighted
Score</t>
  </si>
  <si>
    <t>1. Functional Suitability</t>
  </si>
  <si>
    <t>15%</t>
  </si>
  <si>
    <t>2. Performance Efficiency</t>
  </si>
  <si>
    <t>12%</t>
  </si>
  <si>
    <t>3. Compatibility</t>
  </si>
  <si>
    <t>10%</t>
  </si>
  <si>
    <t>4. Usability</t>
  </si>
  <si>
    <t>5. Reliability</t>
  </si>
  <si>
    <t>6. Security</t>
  </si>
  <si>
    <t>7. Maintainability</t>
  </si>
  <si>
    <t>8%</t>
  </si>
  <si>
    <t>8. Portability</t>
  </si>
  <si>
    <t>WEIGHTED TOTAL SCORE (out of 5.00)</t>
  </si>
  <si>
    <t xml:space="preserve">  SELF-CHECK BEFORE MOVING TO EXPERIMENT D</t>
  </si>
  <si>
    <t>Question</t>
  </si>
  <si>
    <t>Evidence</t>
  </si>
  <si>
    <t>Every rating has ≥1 specific observation in Notes?</t>
  </si>
  <si>
    <t>Add at least one concrete observation before proceeding.</t>
  </si>
  <si>
    <t>Scale</t>
  </si>
  <si>
    <t>All ratings are whole numbers between 1 and 5?</t>
  </si>
  <si>
    <t>Revise any fractional or out-of-range ratings.</t>
  </si>
  <si>
    <t>Range</t>
  </si>
  <si>
    <t>Do your ratings span the full range (not all 4s and 5s)?</t>
  </si>
  <si>
    <t>Re-examine 4s and 5s — look harder for deficiencies.</t>
  </si>
  <si>
    <t>Consistency</t>
  </si>
  <si>
    <t>Similar quality levels rated similarly across both apps?</t>
  </si>
  <si>
    <t>If App 1 gets 5 for security, App 2 needs equivalent scrutiny.</t>
  </si>
  <si>
    <t>Independence</t>
  </si>
  <si>
    <t>Each characteristic rated independently (no brand bias)?</t>
  </si>
  <si>
    <t>Revisit any ratings influenced by brand preference.</t>
  </si>
  <si>
    <t>App 2 — All 8 ISO 25010 Characteristics</t>
  </si>
  <si>
    <t>EXPERIMENT D — Comparative Analysis &amp; Score Summary</t>
  </si>
  <si>
    <t>25 min  |  Complete after both apps are fully evaluated</t>
  </si>
  <si>
    <t xml:space="preserve">  APP IDENTIFICATION</t>
  </si>
  <si>
    <t>Evaluator</t>
  </si>
  <si>
    <t xml:space="preserve">  COMPARATIVE RATING SUMMARY TABLE</t>
  </si>
  <si>
    <t>Quality Characteristic</t>
  </si>
  <si>
    <t>App 1
Rating</t>
  </si>
  <si>
    <t>App 2
Rating</t>
  </si>
  <si>
    <t>Gap
(|A1–A2|)</t>
  </si>
  <si>
    <t>Better App</t>
  </si>
  <si>
    <t>App 1
Weighted</t>
  </si>
  <si>
    <t>App 2
Weighted</t>
  </si>
  <si>
    <t>Margin</t>
  </si>
  <si>
    <t>WEIGHTED TOTAL SCORE</t>
  </si>
  <si>
    <t xml:space="preserve">  PYTHON RADAR CHART — RATINGS REFERENCE</t>
  </si>
  <si>
    <t>Copy these values into your quality_analysis.py script</t>
  </si>
  <si>
    <t>Characteristic</t>
  </si>
  <si>
    <t>App 1 Rating</t>
  </si>
  <si>
    <t>App 2 Rating</t>
  </si>
  <si>
    <t>App 1 Contrib.</t>
  </si>
  <si>
    <t>App 2 Contrib.</t>
  </si>
  <si>
    <t xml:space="preserve">  PYTHON ARRAY STRING (copy into quality_analysis.py)</t>
  </si>
  <si>
    <t xml:space="preserve">  RADAR CHART INTERPRETATION GUIDE</t>
  </si>
  <si>
    <t>Analysis Question</t>
  </si>
  <si>
    <t>How to Answer</t>
  </si>
  <si>
    <t>Where in Report</t>
  </si>
  <si>
    <t>Which app has a larger polygon area?</t>
  </si>
  <si>
    <t>Larger area = higher overall quality score. Name it specifically.</t>
  </si>
  <si>
    <t>Comparative Analysis</t>
  </si>
  <si>
    <t>Where does App 1 extend further than App 2?</t>
  </si>
  <si>
    <t>These spokes = App 1's quality advantages. Name the characteristics.</t>
  </si>
  <si>
    <t>Are there any scores of 2 or below?</t>
  </si>
  <si>
    <t>Scores ≤2 = critical quality gaps requiring immediate attention.</t>
  </si>
  <si>
    <t>Recommendations</t>
  </si>
  <si>
    <t>Both apps score low on the same characteristic?</t>
  </si>
  <si>
    <t>May indicate an industry-wide challenge, not just one app's weakness.</t>
  </si>
  <si>
    <t>Comparative — trade-offs</t>
  </si>
  <si>
    <t>High scores correlating with low scores elsewhere?</t>
  </si>
  <si>
    <t>Look for security vs. usability or performance vs. functionality trade-offs.</t>
  </si>
  <si>
    <t xml:space="preserve">  COMPARATIVE ANALYSIS WRITING SCAFFOLD</t>
  </si>
  <si>
    <t xml:space="preserve">  Para 1 — Overall Scores</t>
  </si>
  <si>
    <t xml:space="preserve">  Para 2 — Biggest Quality Gaps</t>
  </si>
  <si>
    <t xml:space="preserve">  Para 3 — Trade-offs</t>
  </si>
  <si>
    <t xml:space="preserve">  Para 4 — Recommendation</t>
  </si>
  <si>
    <t>SECTION 7 — Quality Improvement Recommendations</t>
  </si>
  <si>
    <t>4 recommendations required: 2 per app  |  Each must follow the Recommendation Formula</t>
  </si>
  <si>
    <t xml:space="preserve">  RECOMMENDATION FORMULA (must follow this structure)</t>
  </si>
  <si>
    <t>📋  [App Name] should [specific action] in order to improve [characteristic] from its current rating of [X] to a target of [Y]. Currently, [specific observed deficiency]. This change would [specific user benefit].</t>
  </si>
  <si>
    <t xml:space="preserve">  EXAMPLES — Good vs Bad Recommendations</t>
  </si>
  <si>
    <t>Quality</t>
  </si>
  <si>
    <t>Example Recommendation</t>
  </si>
  <si>
    <t>App</t>
  </si>
  <si>
    <t>Char.</t>
  </si>
  <si>
    <t>Why?</t>
  </si>
  <si>
    <t>❌ BAD — Vague</t>
  </si>
  <si>
    <t>WhatsApp should improve security.</t>
  </si>
  <si>
    <t>Security</t>
  </si>
  <si>
    <t>No specific action, no mechanism, no evidence</t>
  </si>
  <si>
    <t>❌ BAD — No evidence</t>
  </si>
  <si>
    <t>Telegram needs better reliability because it sometimes crashes.</t>
  </si>
  <si>
    <t>Reliability</t>
  </si>
  <si>
    <t>No specific observation, no target rating</t>
  </si>
  <si>
    <t>✅ GOOD</t>
  </si>
  <si>
    <t>Telegram should add E2E encryption as default for all chats (not just Secret Chats) to improve Security from 4 to 5. Currently, standard chats are stored server-side. Enabling E2E by default gives users same confidentiality WhatsApp already provides.</t>
  </si>
  <si>
    <t>Specific action + evidence + benefit + target rating</t>
  </si>
  <si>
    <t xml:space="preserve">  YOUR RECOMMENDATIONS — Fill in all shaded cells</t>
  </si>
  <si>
    <t>App 1 — Recommendation 1</t>
  </si>
  <si>
    <t>Your Answer</t>
  </si>
  <si>
    <t>Specific Action</t>
  </si>
  <si>
    <t>Characteristic Improved</t>
  </si>
  <si>
    <t>Current Rating</t>
  </si>
  <si>
    <t>Target Rating</t>
  </si>
  <si>
    <t>Specific Deficiency Observed</t>
  </si>
  <si>
    <t>User Benefit</t>
  </si>
  <si>
    <t>Complete Recommendation (paragraph form)</t>
  </si>
  <si>
    <t>App 1 — Recommendation 2</t>
  </si>
  <si>
    <t>App 2 — Recommendation 1</t>
  </si>
  <si>
    <t>App 2 — Recommendation 2</t>
  </si>
  <si>
    <t>QUALITY ASSESSMENT REPORT — Section-by-Section Outline</t>
  </si>
  <si>
    <t>Use this as your PDF report writing guide  |  Minimum 600 words for Sections 6 &amp; 7 combined</t>
  </si>
  <si>
    <t>Sec</t>
  </si>
  <si>
    <t>Title</t>
  </si>
  <si>
    <t>Required Content</t>
  </si>
  <si>
    <t>Target Length</t>
  </si>
  <si>
    <t>Cover Information</t>
  </si>
  <si>
    <t>App names, version numbers, platform, OS version, evaluator name, student ID, date, pair letter.</t>
  </si>
  <si>
    <t>Half page</t>
  </si>
  <si>
    <t>App Overviews</t>
  </si>
  <si>
    <t>One paragraph per app: primary purpose, target users, main features, app category. Note any relevant similarities or differences.</t>
  </si>
  <si>
    <t>½–1 page</t>
  </si>
  <si>
    <t>Evaluation Methodology</t>
  </si>
  <si>
    <t>Rating scale (1–5 Likert). How each characteristic was tested. Device &amp; OS used. Duration per app. Tools used (timer, settings screenshots, etc.).</t>
  </si>
  <si>
    <t>½ page</t>
  </si>
  <si>
    <t>Completed Checklists</t>
  </si>
  <si>
    <t>Two fully completed checklist tables (one per app) with ratings, weights, and detailed observation notes. ALL 8 characteristics rated.</t>
  </si>
  <si>
    <t>2 pages</t>
  </si>
  <si>
    <t>Quality Profile Chart</t>
  </si>
  <si>
    <t>Your radar chart image generated by Python. Must be clearly labelled with app names and weighted scores in the legend.</t>
  </si>
  <si>
    <t>1 page</t>
  </si>
  <si>
    <t>3–5 paragraphs comparing both apps. Must address: overall score comparison, top 3 quality gaps, at least 1 trade-off, recommendation with justification.</t>
  </si>
  <si>
    <t>1–1.5 pages</t>
  </si>
  <si>
    <t>7</t>
  </si>
  <si>
    <t>Exactly 2 specific, actionable recommendations per app = 4 total. Each must name the specific feature/mechanism &amp; reference the characteristic improved.</t>
  </si>
  <si>
    <t xml:space="preserve">  COMMON MISTAKES TO AVOID</t>
  </si>
  <si>
    <t>Mistake</t>
  </si>
  <si>
    <t>Problem</t>
  </si>
  <si>
    <t>Fix</t>
  </si>
  <si>
    <t>⚠️ Rating Without Evidence</t>
  </si>
  <si>
    <t>'It feels secure' is not evidence.</t>
  </si>
  <si>
    <t>For every rating ask: 'What did I specifically observe?'</t>
  </si>
  <si>
    <t>⚠️ Confusing Characteristics</t>
  </si>
  <si>
    <t>Marking down Reliability when app is slow (that's Performance).</t>
  </si>
  <si>
    <t>Re-read each ISO 25010 definition before rating.</t>
  </si>
  <si>
    <t>⚠️ Inflated Ratings (All 4s &amp; 5s)</t>
  </si>
  <si>
    <t>No real-world app scores perfectly across all 8 characteristics.</t>
  </si>
  <si>
    <t>For every 4 or 5, spend 2 extra minutes looking for deficiencies.</t>
  </si>
  <si>
    <t>⚠️ Ignoring Weights in Analysis</t>
  </si>
  <si>
    <t>Comparing raw counts of 4s/5s instead of weighted scores.</t>
  </si>
  <si>
    <t>Always calculate and compare weighted total scores.</t>
  </si>
  <si>
    <t>⚠️ Inconsistent Testing Conditions</t>
  </si>
  <si>
    <t>App 1 on fast WiFi, App 2 on poor 4G — results meaningless.</t>
  </si>
  <si>
    <t>Both apps: same device, OS, day, network conditions.</t>
  </si>
  <si>
    <t>⚠️ Vague Recommendations</t>
  </si>
  <si>
    <t>'Improve security' gives developers nothing actionable.</t>
  </si>
  <si>
    <t>Every rec. names a specific feature/mechanism + target rating + benefit.</t>
  </si>
  <si>
    <t>⚠️ Brand Bias</t>
  </si>
  <si>
    <t>Rating well-known brand higher due to reputation, not evidence.</t>
  </si>
  <si>
    <t>Cover app name when reviewing ratings — would you change any?</t>
  </si>
  <si>
    <t>GRADED LAB TASK — Evaluation Rubric  |  Total: 15 Marks</t>
  </si>
  <si>
    <t>Individual Assessment  |  CLO-1 (P-2) + CLO-2 (P-3)  |  Submitted via LMS</t>
  </si>
  <si>
    <t xml:space="preserve">  MARKS BREAKDOWN</t>
  </si>
  <si>
    <t>Criterion</t>
  </si>
  <si>
    <t>Marks</t>
  </si>
  <si>
    <t>Excellent (90–100%)</t>
  </si>
  <si>
    <t>Good (75–89%)</t>
  </si>
  <si>
    <t>Satisfactory (60–74%)</t>
  </si>
  <si>
    <t>C1 — Evaluation Completeness</t>
  </si>
  <si>
    <t>20%</t>
  </si>
  <si>
    <t>Both apps, all 8 chars rated (1–5), whole numbers, weighted scores correct.</t>
  </si>
  <si>
    <t>7 of 8 chars rated; minor calc error (&lt;0.1 difference).</t>
  </si>
  <si>
    <t>5–6 chars rated; weighted scores present but with errors.</t>
  </si>
  <si>
    <t>C2 — Evidence Quality</t>
  </si>
  <si>
    <t>Every rating: ≥2 specific observations. Performance: actual timings. Security: specific mechanisms.</t>
  </si>
  <si>
    <t>≥6 ratings per app have specific obs. 1–2 vague. Performance present.</t>
  </si>
  <si>
    <t>Evidence inconsistent. 3–5 adequate. No performance measurements.</t>
  </si>
  <si>
    <t>C3 — Python Script &amp; Radar Chart</t>
  </si>
  <si>
    <t>13%</t>
  </si>
  <si>
    <t>Script runs with student's actual ratings. Chart clearly labelled. PNG in GitHub week2/.</t>
  </si>
  <si>
    <t>Script runs but uses example ratings. Chart present in GitHub.</t>
  </si>
  <si>
    <t>Script needs minor edits. Chart exists. Not in correct week2/ folder.</t>
  </si>
  <si>
    <t>C4 — Comparative Analysis</t>
  </si>
  <si>
    <t>Weighted score comparison; top 3 gaps with practical explanation; ≥1 trade-off; recommendation with use-case.</t>
  </si>
  <si>
    <t>Score comparison + 2 gaps. Trade-offs mentioned. Recommendation present.</t>
  </si>
  <si>
    <t>Score comparison. 1 gap. No trade-offs. Recommendation without justification.</t>
  </si>
  <si>
    <t>C5 — Recommendation Specificity</t>
  </si>
  <si>
    <t>4 recs (2/app). Each: specific mechanism, characteristic, current/target rating, user benefit.</t>
  </si>
  <si>
    <t>3–4 recs. Most specific. 1–2 missing mechanism detail. Target rating not always stated.</t>
  </si>
  <si>
    <t>2–3 recs. Mix of specific and vague. Chars referenced without current/target.</t>
  </si>
  <si>
    <t>C6 — Report Structure</t>
  </si>
  <si>
    <t>7%</t>
  </si>
  <si>
    <t>All 7 sections in correct order. Professional formatting. Radar chart embedded. Cover complete.</t>
  </si>
  <si>
    <t>6 of 7 sections. Minor formatting. Cover mostly complete. Chart present.</t>
  </si>
  <si>
    <t>5 of 7 sections. Sections out of order. Chart may be missing.</t>
  </si>
  <si>
    <t>C7 — GitHub &amp; File Naming</t>
  </si>
  <si>
    <t>Files in week2/. Correct commit message. PDF named correctly. GitHub URL in LMS. On time.</t>
  </si>
  <si>
    <t>Files in correct location. Minor commit msg deviation. On time.</t>
  </si>
  <si>
    <t>Files in GitHub but wrong folder. PDF naming incorrect. On time.</t>
  </si>
  <si>
    <t>TOTAL MARKS</t>
  </si>
  <si>
    <t>/ 15 marks</t>
  </si>
  <si>
    <t xml:space="preserve">  GRADING SCALE</t>
  </si>
  <si>
    <t>Grade</t>
  </si>
  <si>
    <t>Descriptor</t>
  </si>
  <si>
    <t>14–15</t>
  </si>
  <si>
    <t>A (Distinction)</t>
  </si>
  <si>
    <t>Excellent — professional quality evaluation, thorough evidence, insightful analysis, specific recommendations.</t>
  </si>
  <si>
    <t>11–13</t>
  </si>
  <si>
    <t>B (Merit)</t>
  </si>
  <si>
    <t>Good — all components present with adequate quality; minor gaps in evidence depth or analysis.</t>
  </si>
  <si>
    <t>8–10</t>
  </si>
  <si>
    <t>C (Pass)</t>
  </si>
  <si>
    <t>Satisfactory — meets basic requirements; noticeable gaps in evidence or analysis; recommendations may be vague.</t>
  </si>
  <si>
    <t>5–7</t>
  </si>
  <si>
    <t>D (Marginal)</t>
  </si>
  <si>
    <t>Borderline — significant effort but major requirements incomplete; evaluation substantially deficient.</t>
  </si>
  <si>
    <t>0–4</t>
  </si>
  <si>
    <t>F (Fail)</t>
  </si>
  <si>
    <t>Insufficient — critical requirements missing; evaluation not conducted properly or not submitted.</t>
  </si>
  <si>
    <t xml:space="preserve">  INSTRUCTOR MARKING CHECKLIST</t>
  </si>
  <si>
    <t>Yes / No</t>
  </si>
  <si>
    <t>Both apps evaluated with all 8 characteristics rated (1–5, whole numbers)</t>
  </si>
  <si>
    <t>Weighted scores calculated and present for both apps</t>
  </si>
  <si>
    <t>Every rating has at least 1 specific observation (not 'it feels good')</t>
  </si>
  <si>
    <t>Performance ratings include actual measured timings (seconds)</t>
  </si>
  <si>
    <t>Security ratings reference specific mechanisms (2FA, permissions, encryption)</t>
  </si>
  <si>
    <t>quality_analysis.py in week2/ on GitHub with student's actual ratings (not examples)</t>
  </si>
  <si>
    <t>Radar chart PNG in week2/ on GitHub, both apps labelled with scores</t>
  </si>
  <si>
    <t>8</t>
  </si>
  <si>
    <t>Comparative analysis compares weighted scores explicitly with numbers</t>
  </si>
  <si>
    <t>9</t>
  </si>
  <si>
    <t>At least 1 quality trade-off identified and explained in comparative analysis</t>
  </si>
  <si>
    <t>10</t>
  </si>
  <si>
    <t>4 recommendations (2/app) each naming a specific mechanism</t>
  </si>
  <si>
    <t>11</t>
  </si>
  <si>
    <t>All 7 report sections present in submitted PDF</t>
  </si>
  <si>
    <t>12</t>
  </si>
  <si>
    <t>PDF named correctly and submitted to LMS before deadline</t>
  </si>
  <si>
    <t>ISO 25010 Quick Reference Card  |  All 8 Quality Characteristics</t>
  </si>
  <si>
    <t>Sub-Characteristics</t>
  </si>
  <si>
    <t>Key Question</t>
  </si>
  <si>
    <t>Test Approach</t>
  </si>
  <si>
    <t>Functional Suitability</t>
  </si>
  <si>
    <t>Completeness, Correctness, Appropriateness</t>
  </si>
  <si>
    <t>Does it do what users need?</t>
  </si>
  <si>
    <t>Feature checklist — Pass/Fail per advertised function. Test edge cases.</t>
  </si>
  <si>
    <t>Performance Efficiency</t>
  </si>
  <si>
    <t>Time behaviour, Resource utilisation, Capacity</t>
  </si>
  <si>
    <t>Does it do it fast enough?</t>
  </si>
  <si>
    <t>Stopwatch timings; device battery/data settings. Record actual numbers.</t>
  </si>
  <si>
    <t>Compatibility</t>
  </si>
  <si>
    <t>Co-existence, Interoperability</t>
  </si>
  <si>
    <t>Does it work with other systems?</t>
  </si>
  <si>
    <t>App store listing; cross-platform sync test; sharing test with 3+ apps.</t>
  </si>
  <si>
    <t>Usability</t>
  </si>
  <si>
    <t>Learnability, Operability, Aesthetics, Accessibility</t>
  </si>
  <si>
    <t>Is it easy and pleasant to use?</t>
  </si>
  <si>
    <t>5-task usability test — timed, unguided, record errors.</t>
  </si>
  <si>
    <t>Availability, Fault tolerance, Recoverability, Maturity</t>
  </si>
  <si>
    <t>Does it work consistently?</t>
  </si>
  <si>
    <t>10-min session; Airplane Mode test; force-close test; note crashes.</t>
  </si>
  <si>
    <t>Confidentiality, Integrity, Authenticity, Accountability</t>
  </si>
  <si>
    <t>Is data and access protected?</t>
  </si>
  <si>
    <t>HTTPS check; permissions list; 2FA; privacy policy review; lockout test.</t>
  </si>
  <si>
    <t>Maintainability</t>
  </si>
  <si>
    <t>Modularity, Analysability, Modifiability, Testability</t>
  </si>
  <si>
    <t>Can it be changed/fixed easily?</t>
  </si>
  <si>
    <t>Update history; changelog quality; open bug age; response to CVEs.</t>
  </si>
  <si>
    <t>Portability</t>
  </si>
  <si>
    <t>Adaptability, Install ability, Replaceability</t>
  </si>
  <si>
    <t>Can it run in different environments?</t>
  </si>
  <si>
    <t>Platform count; install/uninstall; cross-device sync; dark mode respect.</t>
  </si>
  <si>
    <t xml:space="preserve">  CHARACTERISTIC TRADE-OFFS — Know Before You Rate</t>
  </si>
  <si>
    <t>Trade-off</t>
  </si>
  <si>
    <t>Example</t>
  </si>
  <si>
    <t>Implication</t>
  </si>
  <si>
    <t>Security vs. Usability</t>
  </si>
  <si>
    <t>2FA improves security but adds login friction → lower usability score.</t>
  </si>
  <si>
    <t>Rate each independently. Note the trade-off in comparative analysis.</t>
  </si>
  <si>
    <t>Performance vs. Security</t>
  </si>
  <si>
    <t>Encryption adds CPU overhead → highly secure app may have slower response times.</t>
  </si>
  <si>
    <t>Do not penalize security for slower performance if encryption is the cause.</t>
  </si>
  <si>
    <t>Portability vs. Performance</t>
  </si>
  <si>
    <t>Cross-platform frameworks (React Native, Flutter) may perform worse than native.</t>
  </si>
  <si>
    <t>Document the platform context when rating performance.</t>
  </si>
  <si>
    <t>Reliability vs. Functionality</t>
  </si>
  <si>
    <t>Adding more features increases complexity → can reduce reliability score.</t>
  </si>
  <si>
    <t>A feature-rich app rated lower on reliability is an expected trade-off.</t>
  </si>
  <si>
    <t xml:space="preserve">  RATING SCALE — 1–5 LIKERT</t>
  </si>
  <si>
    <t>Example Justification</t>
  </si>
  <si>
    <t>hira shahid</t>
  </si>
  <si>
    <t>FA23-BSE-029</t>
  </si>
  <si>
    <t>21-4-2026</t>
  </si>
  <si>
    <t>infinix X6816C</t>
  </si>
  <si>
    <t xml:space="preserve">Campus WiFi </t>
  </si>
  <si>
    <t>Android</t>
  </si>
  <si>
    <t>Infinix X6816C</t>
  </si>
  <si>
    <t>21-04-2026</t>
  </si>
  <si>
    <t>pass</t>
  </si>
  <si>
    <t>Uber</t>
  </si>
  <si>
    <t>InDrive</t>
  </si>
  <si>
    <t>primary focus</t>
  </si>
  <si>
    <t>Usability, Performance (Map Rendering), Reliability (GPS Accuracy).</t>
  </si>
  <si>
    <t>4.627.10003</t>
  </si>
  <si>
    <t>9 and up</t>
  </si>
  <si>
    <t>7.0 and up</t>
  </si>
  <si>
    <t>5.164.0</t>
  </si>
  <si>
    <t>fail</t>
  </si>
  <si>
    <t>partial</t>
  </si>
  <si>
    <t>Open the app and attempt to book a ride from current location.</t>
  </si>
  <si>
    <t>App interface loaded, but failed to process the request due to "No rides available</t>
  </si>
  <si>
    <t>Tap on the "Activity" tab in the bottom menu.</t>
  </si>
  <si>
    <t>App successfully navigated to the Activity section and correctly displayed the empty state for trips.</t>
  </si>
  <si>
    <t>Fail</t>
  </si>
  <si>
    <t>System failed to initiate the payment setup; returned "Operation is unavailable" error.</t>
  </si>
  <si>
    <t>Access 'Add Payment Method' in Wallet/Account using credit/debit card.</t>
  </si>
  <si>
    <t>Enter invalid/fake promotion code in the 'Add offer code' field.</t>
  </si>
  <si>
    <t>System correctly identified the invalid input and displayed a clear error message: "Promotion code is not valid".</t>
  </si>
  <si>
    <t>Start with the app active and connected. While attempting to search for a location, trigger a network disconnection (disable Wi-Fi/Data).</t>
  </si>
  <si>
    <t>App clears the user's input instead of maintaining state or showing a "Network Error" specific to the search field.</t>
  </si>
  <si>
    <t>Justification:
The comprehensive testing of the Uber application (Version: 4.627.10003) on the Infinix X6816C device reveals a mixed performance regarding functional suitability and robustness. While the application successfully performs secondary tasks such as maintaining trip history and validating input fields (e.g., promo codes), it encounters significant failures in core and edge-case scenarios.</t>
  </si>
  <si>
    <t>2.2 seconds</t>
  </si>
  <si>
    <t>App launches efficiently within expected range.</t>
  </si>
  <si>
    <t>N/A (Failed)</t>
  </si>
  <si>
    <t>Operation failed to resolve.</t>
  </si>
  <si>
    <t>1.2 seconds</t>
  </si>
  <si>
    <t>Navigation to 'Activity' screen is smooth.</t>
  </si>
  <si>
    <t>Moderate drain; within acceptable limits.</t>
  </si>
  <si>
    <t>7.5 seconds</t>
  </si>
  <si>
    <t>Failed/Timed out due to network handling issue</t>
  </si>
  <si>
    <t>4.5 MB</t>
  </si>
  <si>
    <t>Efficiency is high; minimal data footprint.</t>
  </si>
  <si>
    <t>Justification:The application demonstrates high efficiency in secondary tasks and cold startup performance, comfortably meeting the performance benchmarks. However, the 'Performance Efficiency' is severely impacted by failure in core operational workflows (e.g., ride search). Furthermore, under slow network conditions, the app fails to meet the time target, and the 'State Reset' bug during network disconnection leads to a poor performance in task recovery. While the application is resource-efficient (low data/battery usage), the functional failures in critical path operations prevent a higher performance rating.</t>
  </si>
  <si>
    <t>Android 8.0</t>
  </si>
  <si>
    <t>Standard requirement for modern versions.</t>
  </si>
  <si>
    <t>Android, iOS, Web</t>
  </si>
  <si>
    <t>Ubiquitous across mobile and web platforms.</t>
  </si>
  <si>
    <t>Pass</t>
  </si>
  <si>
    <t>Activity/History syncs correctly upon login.</t>
  </si>
  <si>
    <t>Integration with Google Maps for location input</t>
  </si>
  <si>
    <t>Supports trip status sharing via WhatsApp, SMS, etc.</t>
  </si>
  <si>
    <t>Successfully adapts to OS theme settings.</t>
  </si>
  <si>
    <t>UI elements render correctly across versions.</t>
  </si>
  <si>
    <t>CHARACTERISTIC 2 RATING (1–5):4</t>
  </si>
  <si>
    <t>12s</t>
  </si>
  <si>
    <t>15s</t>
  </si>
  <si>
    <t>Confirmation dialog lacks visual prominence.</t>
  </si>
  <si>
    <t>yes</t>
  </si>
  <si>
    <t>8s</t>
  </si>
  <si>
    <t>Loading share sheet is slightly delayed.</t>
  </si>
  <si>
    <t>Search function for help is not intuitive.</t>
  </si>
  <si>
    <t>10s</t>
  </si>
  <si>
    <t>Critical: Network connectivity issue</t>
  </si>
  <si>
    <t>no</t>
  </si>
  <si>
    <t>N/A</t>
  </si>
  <si>
    <t>Menu depth is deep; requires 3 clicks.</t>
  </si>
  <si>
    <t>Inconsistent; Promo error is specific, but Payment error is generic.</t>
  </si>
  <si>
    <t>Moderate Negative</t>
  </si>
  <si>
    <t>Yes, search inputs are clearly defined.</t>
  </si>
  <si>
    <t>Positive</t>
  </si>
  <si>
    <t>Yes, intuitive flow for new users.</t>
  </si>
  <si>
    <t>Supports standard OS accessibility.</t>
  </si>
  <si>
    <t>neutral</t>
  </si>
  <si>
    <t>CHARACTERISTIC 4 RATING (1–5):3</t>
  </si>
  <si>
    <t>App remained stable; no crashes during idle or active UI usage.</t>
  </si>
  <si>
    <t>App fails to display a meaningful "Offline" warning; stops responding.</t>
  </si>
  <si>
    <t>Input state (e.g., search queries) is lost after network restoration.</t>
  </si>
  <si>
    <t>App preserves the session state upon relaunching.</t>
  </si>
  <si>
    <t>Errors are generic ("Operation is unavailable") rather than actionable.</t>
  </si>
  <si>
    <t>CHARACTERISTIC 5 RATING (1–5):2</t>
  </si>
  <si>
    <t>Standard SSL/TLS encryption active on web/API.</t>
  </si>
  <si>
    <t>All requested permissions (Location, Camera) are justified for ride features.</t>
  </si>
  <si>
    <t>Biometric (Fingerprint/Face ID) login is supported and active.</t>
  </si>
  <si>
    <t>Privacy policy is clearly accessible and standard data usage explained.</t>
  </si>
  <si>
    <t>Account triggers temporary lockout after 3 failed password attempts.</t>
  </si>
  <si>
    <t>App maintains an active session indefinitely; lacks auto-timeout for security.</t>
  </si>
  <si>
    <t>CHARACTERISTIC 6 RATING (1–5):4</t>
  </si>
  <si>
    <t>Frequent</t>
  </si>
  <si>
    <t>Regular bi-weekly updates indicating active maintenance.</t>
  </si>
  <si>
    <t>Detailed</t>
  </si>
  <si>
    <t>Moderate</t>
  </si>
  <si>
    <t>Bug fixes and improvements are documented clearly.</t>
  </si>
  <si>
    <t>Some long-standing issues with network timeouts reported by users.</t>
  </si>
  <si>
    <t>Developer promptly addresses critical vulnerabilities.</t>
  </si>
  <si>
    <t>strong</t>
  </si>
  <si>
    <t>No public bug tracker; feedback is via app support only.</t>
  </si>
  <si>
    <t>internal</t>
  </si>
  <si>
    <t>CHARACTERISTIC 7 RATING (1–5):4</t>
  </si>
  <si>
    <t>Supports iOS, Android, and Web platforms natively.</t>
  </si>
  <si>
    <t>wide</t>
  </si>
  <si>
    <t>Leaves no residual files or hidden data after uninstallation.</t>
  </si>
  <si>
    <t>clean</t>
  </si>
  <si>
    <t>User settings and ride history sync seamlessly across devices.</t>
  </si>
  <si>
    <t>App automatically adopts OS-level dark mode and font settings.</t>
  </si>
  <si>
    <t>CHARACTERISTIC 8 RATING (1–5):5</t>
  </si>
  <si>
    <t>Track ride status on map.</t>
  </si>
  <si>
    <t>Input invalid pickup location.</t>
  </si>
  <si>
    <t>No internet during ride request.</t>
  </si>
  <si>
    <t>Request a ride (Pickup to Destination)</t>
  </si>
  <si>
    <t>User can enter route and view accurate fare estimates instantly.</t>
  </si>
  <si>
    <t>App correctly identifies invalid inputs and shows a "No results" error instead of crashing.</t>
  </si>
  <si>
    <t>Access the fare estimation screen and utilize the fare adjustment/negotiation feature.</t>
  </si>
  <si>
    <t>The app successfully allows users to modify the recommended fare (PKR 141) and submit their own offer before finding drivers.</t>
  </si>
  <si>
    <t>The app's mapping interface correctly renders the route between pickup and destination, enabling clear ride tracking visualization.</t>
  </si>
  <si>
    <t>The app enters an indefinite loading state ("spinning" icon) and does not display an explicit "No Internet" connection error message.</t>
  </si>
  <si>
    <t>partial/fail</t>
  </si>
  <si>
    <t>2.5 seconds</t>
  </si>
  <si>
    <t>App opens quickly to map view without delay.</t>
  </si>
  <si>
    <t>Fare estimation loads instantly upon entering route.</t>
  </si>
  <si>
    <t>0.8 seconds</t>
  </si>
  <si>
    <t>Loading ride history or settings is smooth.</t>
  </si>
  <si>
    <t>1.5 second</t>
  </si>
  <si>
    <t>Tested over 10 minutes of active booking/tracking.</t>
  </si>
  <si>
    <t>App maintains functionality even on 4G poor signal.</t>
  </si>
  <si>
    <t>4.5 seconds</t>
  </si>
  <si>
    <t>6.5 MB</t>
  </si>
  <si>
    <t>Usage during 10-minute active ride booking session.</t>
  </si>
  <si>
    <t>CHARACTERISTIC 2 RATING (1–5):5</t>
  </si>
  <si>
    <t>Supports Android 7.0+ and iOS 12.0+ as per official store requirements.</t>
  </si>
  <si>
    <t>Available on both Android (Google Play) and iOS (App Store).</t>
  </si>
  <si>
    <t>Account data and ride history sync successfully across devices.</t>
  </si>
  <si>
    <t>Opens correctly via external location sharing links.</t>
  </si>
  <si>
    <t>supports sharing ride receipts/trip info to WhatsApp, Email, etc.</t>
  </si>
  <si>
    <t>App correctly adapts to system-wide Dark/Light mode preferences.</t>
  </si>
  <si>
    <t>No bugs or crashes observed on current OS version.</t>
  </si>
  <si>
    <t>CHARACTERISTIC 3 RATING (1–5):5</t>
  </si>
  <si>
    <t>25s</t>
  </si>
  <si>
    <t>6s</t>
  </si>
  <si>
    <t>7s</t>
  </si>
  <si>
    <t>Delete a history entry/saved item</t>
  </si>
  <si>
    <t>Share trip content to another app</t>
  </si>
  <si>
    <t>Clear, but sometimes generic (e.g., "No results"). Could be more descriptive.</t>
  </si>
  <si>
    <t>Minor</t>
  </si>
  <si>
    <t>4/5</t>
  </si>
  <si>
    <t>3/5</t>
  </si>
  <si>
    <t>Highly effective; route and price are clearly prioritized on the main screen.</t>
  </si>
  <si>
    <t>high</t>
  </si>
  <si>
    <t>5/5</t>
  </si>
  <si>
    <t>Minimal; the app relies on intuitive flow rather than heavy tutorials for new users.</t>
  </si>
  <si>
    <t>moderate</t>
  </si>
  <si>
    <t>Supports standard OS text scaling and maintains high contrast for visibility.</t>
  </si>
  <si>
    <t>CHARACTERISTIC 4 RATING (1–5):4.5</t>
  </si>
  <si>
    <t>App remains stable during 10 minutes of active interaction.</t>
  </si>
  <si>
    <t>App enters an indefinite "spinning" loading state; no explicit "No Internet" error message is displayed.</t>
  </si>
  <si>
    <t>Session recovers and syncs data once connectivity is restored</t>
  </si>
  <si>
    <t>App state is saved; task can be resumed upon re-opening.</t>
  </si>
  <si>
    <t>Meaningful feedback (e.g., "No results") is provided for invalid inputs/queries.</t>
  </si>
  <si>
    <t>CHARACTERISTIC 5 RATING (1–5):4</t>
  </si>
  <si>
    <t>App uses secure TLS/SSL encryption for all data transmission.</t>
  </si>
  <si>
    <t>Permissions requested (Location, Camera, Storage) are necessary for core functionality.</t>
  </si>
  <si>
    <t>2FA is implemented via OTP (SMS verification); specific biometric app-lock not found.</t>
  </si>
  <si>
    <t>Clearly accessible via the menu; defines data collection and third-party usage.</t>
  </si>
  <si>
    <t>System caps login attempts after 3-5 failed entries to prevent brute force attacks.</t>
  </si>
  <si>
    <t>App does not auto-lock; this prioritization of user convenience over strict security is common in this category.</t>
  </si>
  <si>
    <t>CHARACTERISTIC 6 RATING (1–5):4.5</t>
  </si>
  <si>
    <t>Updates are pushed regularly (typically every 2–4 weeks) to address performance.</t>
  </si>
  <si>
    <t>Release notes are often generic (e.g., "Performance improvements") rather than detailed.</t>
  </si>
  <si>
    <t>Developers actively respond to user reviews in the app store.</t>
  </si>
  <si>
    <t>Standard security patches are integrated into regular release cycles.</t>
  </si>
  <si>
    <t>Accessible in-app support/contact channel allows users to report issues directly.</t>
  </si>
  <si>
    <t>Justification:The application demonstrates a high level of maintainability, characterized by a consistent update cycle that addresses performance and stability concerns. While the changelogs provided on the app store could be more descriptive to enhance user transparency, the existence of an in-app bug tracking/contact channel and an active presence in addressing user reviews indicate a strong commitment to post-release support. The development team's practice of integrating security and maintenance updates into regular deployment cycles suggests a mature maintenance workflow.</t>
  </si>
  <si>
    <t>App is natively available on Android and iOS platforms.</t>
  </si>
  <si>
    <t>Installation is standard; uninstallation is clean with no residual files.</t>
  </si>
  <si>
    <t>User profile, ride history, and settings sync automatically via cloud account.</t>
  </si>
  <si>
    <t>App successfully respects system-level accessibility settings like font scaling and dark mode.</t>
  </si>
  <si>
    <t>Justification:The application demonstrates high portability, offering a consistent experience across major mobile platforms (Android and iOS). The installation and uninstallation processes are standard and efficient, leaving no residual data. Furthermore, the app excels in cross-device synchronization, ensuring that user data remains consistent across different devices, and it respects OS-level accessibility preferences, contributing to a seamless user experience across varied hardware configurations.</t>
  </si>
  <si>
    <t>CHARACTERISTIC 1 RATING (1–5):3</t>
  </si>
  <si>
    <t>Ride booking failed ("No rides available") and payment setup returned "Operation is unavailable</t>
  </si>
  <si>
    <t>Cold start is 2.2s (Pass); however, slow network causes 7.5s load/timeout.</t>
  </si>
  <si>
    <t>Supports Android/iOS/Web; cross-device history/settings sync works correctly.</t>
  </si>
  <si>
    <t>Navigation depth is high (3 clicks); Help function is not intuitive.</t>
  </si>
  <si>
    <t>Fails Airplane Mode test; provides generic error messages instead of actionable steps.</t>
  </si>
  <si>
    <t>Supports 2FA/Biometrics; lacks auto-lock feature on inactivity.</t>
  </si>
  <si>
    <t>Frequent updates; active maintenance but relies on internal bug tracking (no public tracker).</t>
  </si>
  <si>
    <t>Wide platform support; clean installation with no residual files.</t>
  </si>
  <si>
    <t>Indrive</t>
  </si>
  <si>
    <t>Bidding/negotiation system works seamlessly; highly transparent.</t>
  </si>
  <si>
    <t>Cold startup ~2.8s; map rendering is smooth.</t>
  </si>
  <si>
    <t>Fully compatible across Android versions.</t>
  </si>
  <si>
    <t>Stable connection handling; good state recovery.</t>
  </si>
  <si>
    <t>Intuitive bidding UI; direct and clear navigation.</t>
  </si>
  <si>
    <t>Phone number verification &amp; standard encryption.</t>
  </si>
  <si>
    <t>Updates are regular; feedback loop is active.</t>
  </si>
  <si>
    <t>Lightweight app size; clean install/uninstall.</t>
  </si>
  <si>
    <t>app2</t>
  </si>
  <si>
    <t>0.5</t>
  </si>
  <si>
    <t>App 2 achieved a weighted quality score of 4.27/5.00, compared to App 1's 3.60/5.00 — a margin of 0.67 points. This indicates that App 2 provides a higher overall level of quality across the evaluated ISO 25010 characteristics.</t>
  </si>
  <si>
    <t>The three characteristics with the largest score differences are Reliability (gap of 2.0), Usability (gap of 1.5), and Functional Suitability/Performance Efficiency (gap of 1.0 each). In practice, the Reliability gap means that App 2 maintains stable performance under variable network conditions, whereas App 1 fails to recover gracefully, leading to a frustrating user experience. The Usability gap signifies that App 2 offers a more intuitive interface that requires less cognitive effort from the user, making the overall interaction significantly smoother than App 1.</t>
  </si>
  <si>
    <t>1.5</t>
  </si>
  <si>
    <t>App 2’s higher score in Functional Suitability and Reliability comes at the cost of similarity in foundational infrastructure — because while App 2 leads in user-facing features, both apps remain tied in Maintainability and Portability. This suggests that while App 2 has optimized the user experience, both platforms are built upon comparable underlying technical architectures, meaning App 2 delivers better value without sacrificing structural quality.</t>
  </si>
  <si>
    <t>Based on the comparative analysis, App 2 is recommended for users who prioritize functional flexibility and reliability, particularly in environments with fluctuating network conditions. App 2 achieved a superior weighted total score of 4.27 compared to App 1's 3.60, demonstrating significant advantages in Functional Suitability and Reliability. While App 1 remains a viable option for stable network environments, App 2's robust performance efficiency and intuitive usability make it the more effective choice for daily transportation needs where consistent service delivery is critical.</t>
  </si>
  <si>
    <t>Implement robust network connection handling and replace generic errors with specific, actionable troubleshooting steps (especially for the Airplane Mode test case).</t>
  </si>
  <si>
    <t>The app fails the Airplane Mode test and provides generic error messages instead of actionable steps when the connection is lost.</t>
  </si>
  <si>
    <t>Users will receive clear, helpful feedback during network interruptions, allowing them to effectively resolve connectivity issues or retry, which increases overall trust in the booking process.</t>
  </si>
  <si>
    <t>Uber should implement robust connection handling and provide actionable, specific error messages instead of generic ones in order to improve Reliability from its current rating of 2 to a target of 4. Currently, the app fails the Airplane Mode test and provides non-actionable error messages. This change would help users resolve connectivity issues quickly, reducing frustration during network interruptions.</t>
  </si>
  <si>
    <t>Simplify the navigation structure to reduce clicks for core tasks and redesign the Help interface to be more intuitive for the user.</t>
  </si>
  <si>
    <t>Navigation depth is high (3 clicks) and the Help function is not intuitive.</t>
  </si>
  <si>
    <t>Users will be able to access core features faster, and an intuitive Help interface will ensure they can resolve issues independently, significantly enhancing the overall user experience.</t>
  </si>
  <si>
    <t>Uber should simplify its navigation structure and redesign the Help interface in order to improve Usability from its current rating of 3 to a target of 5. Currently, the navigation depth is high (3 clicks) and the Help function is not intuitive. This change would allow users to access core features more quickly and resolve issues with less friction, significantly enhancing the overall user experience.</t>
  </si>
  <si>
    <t>Implement a public-facing issue or bug tracker to enhance transparency regarding development updates.</t>
  </si>
  <si>
    <t>The app relies entirely on internal bug tracking with no public visibility into development progress.</t>
  </si>
  <si>
    <t>Providing public visibility into bug fixes and features increases user trust and allows the community to better understand the development cycle.</t>
  </si>
  <si>
    <t>Optimize screen transition animations and streamline rendering processes to ensure smoother and faster UI updates.</t>
  </si>
  <si>
    <t>Screen transitions are functional but could be faster and more optimized for a smoother feel.</t>
  </si>
  <si>
    <t>Users will experience a more responsive and fluid interface, reducing perceived wait times and increasing overall satisfaction during navigation.</t>
  </si>
  <si>
    <t>inDrive should optimize screen transition animations and rendering processes in order to improve Performance Efficiency from its current rating of 4 to a target of 5. Currently, while the app is functional, transitions could be faster and more seamless. This change would provide a more fluid and responsive user experience, making the app feel more professional and reliable.</t>
  </si>
  <si>
    <t xml:space="preserve">
APP1_RATINGS = [3, 4, 5, 3, 2, 4, 4, 5]
APP2_RATINGS = [4, 5, 5, 4.5, 4, 4.5, 4,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</si>
</sst>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Calibri"/>
      <family val="2"/>
      <charset val="1"/>
    </font>
    <font>
      <b/>
      <sz val="14"/>
      <color rgb="FFFFFFFF"/>
      <name val="Arial"/>
      <charset val="1"/>
    </font>
    <font>
      <b/>
      <sz val="10"/>
      <color rgb="FFFFFFFF"/>
      <name val="Arial"/>
      <charset val="1"/>
    </font>
    <font>
      <b/>
      <sz val="9"/>
      <color rgb="FF1F3864"/>
      <name val="Arial"/>
      <charset val="1"/>
    </font>
    <font>
      <b/>
      <sz val="9"/>
      <color rgb="FF444444"/>
      <name val="Arial"/>
      <charset val="1"/>
    </font>
    <font>
      <sz val="10"/>
      <color rgb="FF000000"/>
      <name val="Arial"/>
      <charset val="1"/>
    </font>
    <font>
      <b/>
      <sz val="9"/>
      <color rgb="FF000000"/>
      <name val="Arial"/>
      <charset val="1"/>
    </font>
    <font>
      <sz val="9"/>
      <color rgb="FF000000"/>
      <name val="Arial"/>
      <charset val="1"/>
    </font>
    <font>
      <b/>
      <sz val="13"/>
      <color rgb="FFFFFFFF"/>
      <name val="Arial"/>
      <charset val="1"/>
    </font>
    <font>
      <b/>
      <sz val="9"/>
      <color rgb="FFFFFFFF"/>
      <name val="Arial"/>
      <charset val="1"/>
    </font>
    <font>
      <b/>
      <sz val="10"/>
      <color rgb="FF1F3864"/>
      <name val="Arial"/>
      <charset val="1"/>
    </font>
    <font>
      <b/>
      <sz val="14"/>
      <color rgb="FF1F3864"/>
      <name val="Arial"/>
      <charset val="1"/>
    </font>
    <font>
      <b/>
      <sz val="10"/>
      <color rgb="FF000000"/>
      <name val="Arial"/>
      <charset val="1"/>
    </font>
    <font>
      <b/>
      <sz val="13"/>
      <color rgb="FF1F3864"/>
      <name val="Arial"/>
      <charset val="1"/>
    </font>
    <font>
      <b/>
      <sz val="11"/>
      <color rgb="FFFFFFFF"/>
      <name val="Arial"/>
      <charset val="1"/>
    </font>
    <font>
      <i/>
      <sz val="8"/>
      <color rgb="FFA32D2D"/>
      <name val="Arial"/>
      <charset val="1"/>
    </font>
    <font>
      <b/>
      <sz val="11"/>
      <color rgb="FF000000"/>
      <name val="Arial"/>
      <charset val="1"/>
    </font>
    <font>
      <b/>
      <sz val="12"/>
      <color rgb="FF1F3864"/>
      <name val="Arial"/>
      <charset val="1"/>
    </font>
    <font>
      <b/>
      <sz val="10"/>
      <color rgb="FFA32D2D"/>
      <name val="Arial"/>
      <charset val="1"/>
    </font>
    <font>
      <b/>
      <sz val="11"/>
      <color rgb="FF1F3864"/>
      <name val="Arial"/>
      <charset val="1"/>
    </font>
    <font>
      <sz val="9"/>
      <color rgb="FF2E75B6"/>
      <name val="Arial"/>
      <charset val="1"/>
    </font>
    <font>
      <sz val="9"/>
      <color rgb="FF1A6B5A"/>
      <name val="Arial"/>
      <charset val="1"/>
    </font>
    <font>
      <sz val="9"/>
      <color rgb="FF1F3864"/>
      <name val="Courier New"/>
      <charset val="1"/>
    </font>
    <font>
      <b/>
      <sz val="9"/>
      <color rgb="FF1A6B5A"/>
      <name val="Arial"/>
      <charset val="1"/>
    </font>
    <font>
      <i/>
      <sz val="9"/>
      <color rgb="FF888888"/>
      <name val="Arial"/>
      <charset val="1"/>
    </font>
    <font>
      <sz val="8"/>
      <color rgb="FF000000"/>
      <name val="Arial"/>
      <charset val="1"/>
    </font>
    <font>
      <b/>
      <sz val="9"/>
      <color rgb="FFA32D2D"/>
      <name val="Arial"/>
      <charset val="1"/>
    </font>
    <font>
      <b/>
      <sz val="12"/>
      <color rgb="FFFFFFFF"/>
      <name val="Arial"/>
      <charset val="1"/>
    </font>
    <font>
      <i/>
      <sz val="8"/>
      <color rgb="FF000000"/>
      <name val="Arial"/>
      <charset val="1"/>
    </font>
    <font>
      <sz val="10"/>
      <color theme="1"/>
      <name val="Arial"/>
      <family val="2"/>
    </font>
    <font>
      <sz val="10"/>
      <color rgb="FF000000"/>
      <name val="Arial"/>
      <family val="2"/>
    </font>
    <font>
      <b/>
      <sz val="10"/>
      <color rgb="FFFFFFFF"/>
      <name val="Times New Roman"/>
      <family val="1"/>
    </font>
    <font>
      <b/>
      <sz val="9"/>
      <color rgb="FF000000"/>
      <name val="Times New Roman"/>
      <family val="1"/>
    </font>
    <font>
      <sz val="10"/>
      <color rgb="FF000000"/>
      <name val="Times New Roman"/>
      <family val="1"/>
    </font>
    <font>
      <sz val="10"/>
      <color theme="1"/>
      <name val="Times New Roman"/>
      <family val="1"/>
    </font>
    <font>
      <b/>
      <sz val="10"/>
      <color rgb="FF1F3864"/>
      <name val="Times New Roman"/>
      <family val="1"/>
    </font>
    <font>
      <b/>
      <sz val="14"/>
      <color rgb="FF1F3864"/>
      <name val="Times New Roman"/>
      <family val="1"/>
    </font>
    <font>
      <sz val="11"/>
      <color theme="1"/>
      <name val="Arial"/>
      <family val="2"/>
    </font>
    <font>
      <b/>
      <sz val="10"/>
      <color rgb="FF000000"/>
      <name val="Arial"/>
      <family val="2"/>
    </font>
    <font>
      <sz val="11"/>
      <color rgb="FF1F1F1F"/>
      <name val="Arial"/>
      <family val="2"/>
    </font>
    <font>
      <b/>
      <sz val="11"/>
      <color rgb="FF1F1F1F"/>
      <name val="Arial"/>
      <family val="2"/>
    </font>
    <font>
      <b/>
      <sz val="9"/>
      <color rgb="FF1F3864"/>
      <name val="Times New Roman"/>
      <family val="1"/>
    </font>
    <font>
      <b/>
      <sz val="10"/>
      <color rgb="FF000000"/>
      <name val="Times New Roman"/>
      <family val="1"/>
    </font>
    <font>
      <b/>
      <sz val="11"/>
      <color theme="1"/>
      <name val="Times New Roman"/>
      <family val="1"/>
    </font>
    <font>
      <b/>
      <sz val="10"/>
      <color theme="1"/>
      <name val="Times New Roman"/>
      <family val="1"/>
    </font>
    <font>
      <b/>
      <sz val="9"/>
      <color rgb="FF1F3864"/>
      <name val="Arial"/>
      <family val="2"/>
    </font>
    <font>
      <b/>
      <sz val="9"/>
      <color rgb="FF444444"/>
      <name val="Arial"/>
      <family val="2"/>
    </font>
    <font>
      <b/>
      <sz val="12"/>
      <color rgb="FF1F3864"/>
      <name val="Arial"/>
      <family val="2"/>
    </font>
    <font>
      <b/>
      <sz val="12"/>
      <color rgb="FFFFFFFF"/>
      <name val="Arial"/>
      <family val="2"/>
    </font>
    <font>
      <b/>
      <sz val="12"/>
      <color rgb="FF000000"/>
      <name val="Arial"/>
      <family val="2"/>
    </font>
    <font>
      <b/>
      <sz val="12"/>
      <color theme="1"/>
      <name val="Calibri"/>
      <family val="2"/>
      <charset val="1"/>
    </font>
    <font>
      <b/>
      <sz val="13"/>
      <color rgb="FF1F3864"/>
      <name val="Times New Roman"/>
      <family val="1"/>
    </font>
    <font>
      <b/>
      <sz val="8"/>
      <color rgb="FF888888"/>
      <name val="Times New Roman"/>
      <family val="1"/>
    </font>
    <font>
      <b/>
      <sz val="10"/>
      <color rgb="FF1A6B5A"/>
      <name val="Times New Roman"/>
      <family val="1"/>
    </font>
    <font>
      <b/>
      <sz val="11"/>
      <color rgb="FFFFFFFF"/>
      <name val="Times New Roman"/>
      <family val="1"/>
    </font>
    <font>
      <b/>
      <sz val="13"/>
      <color rgb="FFFFFFFF"/>
      <name val="Times New Roman"/>
      <family val="1"/>
    </font>
    <font>
      <b/>
      <i/>
      <sz val="8"/>
      <color rgb="FF888888"/>
      <name val="Times New Roman"/>
      <family val="1"/>
    </font>
    <font>
      <b/>
      <sz val="9"/>
      <color rgb="FF444444"/>
      <name val="Times New Roman"/>
      <family val="1"/>
    </font>
  </fonts>
  <fills count="1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2F2F2"/>
        <bgColor rgb="FFE2EFDA"/>
      </patternFill>
    </fill>
    <fill>
      <patternFill patternType="solid">
        <fgColor rgb="FFFFF2CC"/>
        <bgColor rgb="FFF2F2F2"/>
      </patternFill>
    </fill>
    <fill>
      <patternFill patternType="solid">
        <fgColor rgb="FFD6E4F0"/>
        <bgColor rgb="FFD6EDE8"/>
      </patternFill>
    </fill>
    <fill>
      <patternFill patternType="solid">
        <fgColor rgb="FFD6EDE8"/>
        <bgColor rgb="FFD6E4F0"/>
      </patternFill>
    </fill>
    <fill>
      <patternFill patternType="solid">
        <fgColor rgb="FFE2EFDA"/>
        <bgColor rgb="FFD6EDE8"/>
      </patternFill>
    </fill>
    <fill>
      <patternFill patternType="solid">
        <fgColor rgb="FFFFE0E0"/>
        <bgColor rgb="FFFFF2CC"/>
      </patternFill>
    </fill>
    <fill>
      <patternFill patternType="solid">
        <fgColor rgb="FFCCCCCC"/>
        <bgColor rgb="FFD6E4F0"/>
      </patternFill>
    </fill>
    <fill>
      <patternFill patternType="solid">
        <fgColor rgb="FF1A6B5A"/>
        <bgColor rgb="FF008080"/>
      </patternFill>
    </fill>
    <fill>
      <patternFill patternType="solid">
        <fgColor rgb="FFFFFFFF"/>
        <bgColor rgb="FFF2F2F2"/>
      </patternFill>
    </fill>
    <fill>
      <patternFill patternType="solid">
        <fgColor rgb="FFFFD966"/>
        <bgColor rgb="FFFFCC00"/>
      </patternFill>
    </fill>
  </fills>
  <borders count="4">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03">
    <xf numFmtId="0" fontId="0" fillId="0" borderId="0" xfId="0"/>
    <xf numFmtId="0" fontId="2" fillId="3"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4" borderId="1" xfId="0" applyFont="1" applyFill="1" applyBorder="1" applyAlignment="1">
      <alignment horizontal="left" vertical="center"/>
    </xf>
    <xf numFmtId="0" fontId="0" fillId="0" borderId="1" xfId="0" applyBorder="1"/>
    <xf numFmtId="0" fontId="6" fillId="6" borderId="1" xfId="0" applyFont="1" applyFill="1" applyBorder="1" applyAlignment="1">
      <alignment horizontal="left" vertical="center"/>
    </xf>
    <xf numFmtId="0" fontId="7" fillId="6" borderId="1" xfId="0" applyFont="1" applyFill="1" applyBorder="1" applyAlignment="1">
      <alignment horizontal="left" vertical="center"/>
    </xf>
    <xf numFmtId="0" fontId="6" fillId="7" borderId="1" xfId="0" applyFont="1" applyFill="1" applyBorder="1" applyAlignment="1">
      <alignment horizontal="left" vertical="center"/>
    </xf>
    <xf numFmtId="0" fontId="7" fillId="7" borderId="1" xfId="0" applyFont="1" applyFill="1" applyBorder="1" applyAlignment="1">
      <alignment horizontal="left"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0" fontId="6" fillId="8" borderId="1" xfId="0" applyFont="1" applyFill="1" applyBorder="1" applyAlignment="1">
      <alignment horizontal="left" vertical="center"/>
    </xf>
    <xf numFmtId="0" fontId="7" fillId="8" borderId="1" xfId="0" applyFont="1" applyFill="1" applyBorder="1" applyAlignment="1">
      <alignment horizontal="left" vertical="center"/>
    </xf>
    <xf numFmtId="0" fontId="6" fillId="9" borderId="1" xfId="0" applyFont="1" applyFill="1" applyBorder="1" applyAlignment="1">
      <alignment horizontal="left" vertical="center"/>
    </xf>
    <xf numFmtId="0" fontId="7" fillId="9" borderId="1" xfId="0" applyFont="1" applyFill="1" applyBorder="1" applyAlignment="1">
      <alignment horizontal="left"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0" fillId="5" borderId="1" xfId="0" applyFill="1" applyBorder="1" applyAlignment="1">
      <alignment horizontal="left" vertical="center" wrapText="1"/>
    </xf>
    <xf numFmtId="0" fontId="6" fillId="12"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5" fillId="12" borderId="0" xfId="0" applyFont="1" applyFill="1"/>
    <xf numFmtId="0" fontId="2" fillId="3"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13"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12" borderId="1" xfId="0" applyFont="1" applyFill="1" applyBorder="1" applyAlignment="1">
      <alignment horizontal="center" vertical="center"/>
    </xf>
    <xf numFmtId="2" fontId="8" fillId="2"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5" borderId="1" xfId="0" applyFill="1" applyBorder="1" applyAlignment="1">
      <alignment horizontal="center" vertical="center"/>
    </xf>
    <xf numFmtId="0" fontId="15" fillId="9"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16" fillId="5" borderId="1" xfId="0" applyFont="1" applyFill="1" applyBorder="1" applyAlignment="1">
      <alignment horizontal="center" vertical="center"/>
    </xf>
    <xf numFmtId="0" fontId="17" fillId="5" borderId="1" xfId="0" applyFont="1" applyFill="1" applyBorder="1" applyAlignment="1">
      <alignment horizontal="center" vertical="center"/>
    </xf>
    <xf numFmtId="1" fontId="18" fillId="4" borderId="1" xfId="0" applyNumberFormat="1" applyFont="1" applyFill="1" applyBorder="1" applyAlignment="1">
      <alignment horizontal="center" vertical="center"/>
    </xf>
    <xf numFmtId="1" fontId="18" fillId="12" borderId="1" xfId="0" applyNumberFormat="1" applyFont="1" applyFill="1" applyBorder="1" applyAlignment="1">
      <alignment horizontal="center" vertical="center"/>
    </xf>
    <xf numFmtId="2" fontId="14"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9" fontId="7" fillId="4" borderId="1" xfId="0" applyNumberFormat="1" applyFont="1" applyFill="1" applyBorder="1" applyAlignment="1">
      <alignment horizontal="center" vertical="center"/>
    </xf>
    <xf numFmtId="0" fontId="19" fillId="4" borderId="1" xfId="0" applyFont="1" applyFill="1" applyBorder="1" applyAlignment="1">
      <alignment horizontal="center" vertical="center"/>
    </xf>
    <xf numFmtId="2" fontId="20" fillId="4" borderId="1" xfId="0" applyNumberFormat="1" applyFont="1" applyFill="1" applyBorder="1" applyAlignment="1">
      <alignment horizontal="center" vertical="center"/>
    </xf>
    <xf numFmtId="2" fontId="21" fillId="4" borderId="1" xfId="0" applyNumberFormat="1" applyFont="1" applyFill="1" applyBorder="1" applyAlignment="1">
      <alignment horizontal="center" vertical="center"/>
    </xf>
    <xf numFmtId="9" fontId="7" fillId="12" borderId="1" xfId="0" applyNumberFormat="1" applyFont="1" applyFill="1" applyBorder="1" applyAlignment="1">
      <alignment horizontal="center" vertical="center"/>
    </xf>
    <xf numFmtId="2" fontId="20" fillId="12" borderId="1" xfId="0" applyNumberFormat="1" applyFont="1" applyFill="1" applyBorder="1" applyAlignment="1">
      <alignment horizontal="center" vertical="center"/>
    </xf>
    <xf numFmtId="2" fontId="21" fillId="12" borderId="1" xfId="0" applyNumberFormat="1" applyFont="1" applyFill="1" applyBorder="1" applyAlignment="1">
      <alignment horizontal="center" vertical="center"/>
    </xf>
    <xf numFmtId="0" fontId="23"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5" fillId="9" borderId="1" xfId="0" applyFont="1" applyFill="1" applyBorder="1" applyAlignment="1">
      <alignment horizontal="left" vertical="center" wrapText="1"/>
    </xf>
    <xf numFmtId="0" fontId="25" fillId="8" borderId="1" xfId="0" applyFont="1" applyFill="1" applyBorder="1" applyAlignment="1">
      <alignment horizontal="left" vertical="center" wrapText="1"/>
    </xf>
    <xf numFmtId="0" fontId="26" fillId="9"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17" fillId="12" borderId="1" xfId="0" applyFont="1" applyFill="1" applyBorder="1" applyAlignment="1">
      <alignment horizontal="center" vertical="center"/>
    </xf>
    <xf numFmtId="0" fontId="12" fillId="12" borderId="1" xfId="0" applyFont="1" applyFill="1" applyBorder="1" applyAlignment="1">
      <alignment horizontal="left" vertical="center" wrapText="1"/>
    </xf>
    <xf numFmtId="0" fontId="28" fillId="12" borderId="1" xfId="0" applyFont="1" applyFill="1" applyBorder="1" applyAlignment="1">
      <alignment horizontal="left" vertical="center" wrapText="1"/>
    </xf>
    <xf numFmtId="0" fontId="19" fillId="12" borderId="1" xfId="0" applyFont="1" applyFill="1" applyBorder="1" applyAlignment="1">
      <alignment horizontal="center" vertical="center"/>
    </xf>
    <xf numFmtId="0" fontId="17" fillId="7"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28" fillId="7" borderId="1" xfId="0" applyFont="1" applyFill="1" applyBorder="1" applyAlignment="1">
      <alignment horizontal="left" vertical="center" wrapText="1"/>
    </xf>
    <xf numFmtId="0" fontId="19" fillId="7"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19" fillId="5" borderId="1" xfId="0" applyFont="1" applyFill="1" applyBorder="1" applyAlignment="1">
      <alignment horizontal="center" vertical="center"/>
    </xf>
    <xf numFmtId="0" fontId="17"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28" fillId="4" borderId="1" xfId="0" applyFont="1" applyFill="1" applyBorder="1" applyAlignment="1">
      <alignment horizontal="left" vertical="center" wrapText="1"/>
    </xf>
    <xf numFmtId="0" fontId="17" fillId="8" borderId="1" xfId="0" applyFont="1" applyFill="1" applyBorder="1" applyAlignment="1">
      <alignment horizontal="center" vertical="center"/>
    </xf>
    <xf numFmtId="0" fontId="12" fillId="8" borderId="1" xfId="0" applyFont="1" applyFill="1" applyBorder="1" applyAlignment="1">
      <alignment horizontal="left" vertical="center" wrapText="1"/>
    </xf>
    <xf numFmtId="0" fontId="28" fillId="8" borderId="1" xfId="0" applyFont="1" applyFill="1" applyBorder="1" applyAlignment="1">
      <alignment horizontal="left" vertical="center" wrapText="1"/>
    </xf>
    <xf numFmtId="0" fontId="19"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13" borderId="1" xfId="0" applyFont="1" applyFill="1" applyBorder="1" applyAlignment="1">
      <alignment horizontal="center" vertical="center"/>
    </xf>
    <xf numFmtId="0" fontId="13" fillId="9" borderId="1" xfId="0" applyFont="1" applyFill="1" applyBorder="1" applyAlignment="1">
      <alignment horizontal="center" vertical="center"/>
    </xf>
    <xf numFmtId="0" fontId="29" fillId="0" borderId="0" xfId="0" applyFont="1"/>
    <xf numFmtId="15" fontId="5" fillId="5" borderId="1" xfId="0" applyNumberFormat="1" applyFont="1" applyFill="1" applyBorder="1" applyAlignment="1">
      <alignment horizontal="left" vertical="center" wrapText="1"/>
    </xf>
    <xf numFmtId="15" fontId="30" fillId="5" borderId="1" xfId="0" applyNumberFormat="1" applyFont="1" applyFill="1" applyBorder="1" applyAlignment="1">
      <alignment horizontal="left" vertical="center" wrapText="1"/>
    </xf>
    <xf numFmtId="0" fontId="31" fillId="3" borderId="1" xfId="0" applyFont="1" applyFill="1" applyBorder="1" applyAlignment="1">
      <alignment horizontal="center" vertical="center" wrapText="1"/>
    </xf>
    <xf numFmtId="0" fontId="32" fillId="4"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4" fillId="0" borderId="0" xfId="0" applyFont="1"/>
    <xf numFmtId="0" fontId="32" fillId="12" borderId="1" xfId="0" applyFont="1" applyFill="1" applyBorder="1" applyAlignment="1">
      <alignment horizontal="left" vertical="center" wrapText="1"/>
    </xf>
    <xf numFmtId="0" fontId="33" fillId="12" borderId="1" xfId="0" applyFont="1" applyFill="1" applyBorder="1" applyAlignment="1">
      <alignment horizontal="left" vertical="center" wrapText="1"/>
    </xf>
    <xf numFmtId="0" fontId="36" fillId="5" borderId="1" xfId="0" applyFont="1" applyFill="1" applyBorder="1" applyAlignment="1">
      <alignment horizontal="center" vertical="center"/>
    </xf>
    <xf numFmtId="0" fontId="34" fillId="5" borderId="1" xfId="0" applyFont="1" applyFill="1" applyBorder="1" applyAlignment="1">
      <alignment horizontal="left" vertical="center" wrapText="1"/>
    </xf>
    <xf numFmtId="0" fontId="37" fillId="0" borderId="3" xfId="0" applyFont="1" applyBorder="1" applyAlignment="1">
      <alignment vertical="center" wrapText="1"/>
    </xf>
    <xf numFmtId="0" fontId="30" fillId="12" borderId="2" xfId="0" applyFont="1" applyFill="1" applyBorder="1" applyAlignment="1">
      <alignment horizontal="left" vertical="center" wrapText="1"/>
    </xf>
    <xf numFmtId="16" fontId="7" fillId="5" borderId="1" xfId="0" quotePrefix="1" applyNumberFormat="1" applyFont="1" applyFill="1" applyBorder="1" applyAlignment="1">
      <alignment horizontal="left" vertical="center" wrapText="1"/>
    </xf>
    <xf numFmtId="1" fontId="18" fillId="12" borderId="1" xfId="0" quotePrefix="1" applyNumberFormat="1" applyFont="1" applyFill="1" applyBorder="1" applyAlignment="1">
      <alignment horizontal="center" vertical="center"/>
    </xf>
    <xf numFmtId="0" fontId="40" fillId="0" borderId="3" xfId="0" applyFont="1" applyBorder="1" applyAlignment="1">
      <alignment vertical="center" wrapText="1" readingOrder="1"/>
    </xf>
    <xf numFmtId="0" fontId="39" fillId="0" borderId="3" xfId="0" applyFont="1" applyBorder="1" applyAlignment="1">
      <alignment vertical="center" wrapText="1" readingOrder="1"/>
    </xf>
    <xf numFmtId="0" fontId="8" fillId="2"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14" fillId="2"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24" fillId="5"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30"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20" fontId="5" fillId="5" borderId="1" xfId="0" applyNumberFormat="1" applyFont="1" applyFill="1" applyBorder="1" applyAlignment="1">
      <alignment horizontal="left" vertical="center" wrapText="1"/>
    </xf>
    <xf numFmtId="0" fontId="35"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38" fillId="6" borderId="2" xfId="0" applyFont="1" applyFill="1" applyBorder="1" applyAlignment="1">
      <alignment horizontal="left" vertical="center" wrapText="1"/>
    </xf>
    <xf numFmtId="0" fontId="7"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7" fillId="2"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8" fillId="12" borderId="1" xfId="0" applyFont="1" applyFill="1" applyBorder="1" applyAlignment="1">
      <alignment horizontal="left" vertical="center" wrapText="1"/>
    </xf>
    <xf numFmtId="0" fontId="41" fillId="4" borderId="1" xfId="0" applyFont="1" applyFill="1" applyBorder="1" applyAlignment="1">
      <alignment horizontal="left" vertical="center"/>
    </xf>
    <xf numFmtId="0" fontId="42" fillId="4" borderId="1" xfId="0" applyFont="1" applyFill="1" applyBorder="1" applyAlignment="1">
      <alignment horizontal="left" vertical="center" wrapText="1"/>
    </xf>
    <xf numFmtId="0" fontId="43" fillId="5" borderId="1" xfId="0" applyFont="1" applyFill="1" applyBorder="1" applyAlignment="1">
      <alignment horizontal="left" vertical="center" wrapText="1"/>
    </xf>
    <xf numFmtId="0" fontId="44" fillId="0" borderId="0" xfId="0" applyFont="1"/>
    <xf numFmtId="0" fontId="42" fillId="12" borderId="1" xfId="0" applyFont="1" applyFill="1" applyBorder="1" applyAlignment="1">
      <alignment horizontal="left" vertical="center" wrapText="1"/>
    </xf>
    <xf numFmtId="0" fontId="43" fillId="0" borderId="0" xfId="0" applyFont="1"/>
    <xf numFmtId="0" fontId="44"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10" fontId="32" fillId="5" borderId="1" xfId="0" applyNumberFormat="1" applyFont="1" applyFill="1" applyBorder="1" applyAlignment="1">
      <alignment horizontal="left" vertical="center" wrapText="1"/>
    </xf>
    <xf numFmtId="0" fontId="45" fillId="4" borderId="1" xfId="0" applyFont="1" applyFill="1" applyBorder="1" applyAlignment="1">
      <alignment horizontal="left" vertical="center"/>
    </xf>
    <xf numFmtId="0" fontId="46" fillId="4" borderId="1" xfId="0" applyFont="1" applyFill="1" applyBorder="1" applyAlignment="1">
      <alignment horizontal="left" vertical="center"/>
    </xf>
    <xf numFmtId="0" fontId="38" fillId="5" borderId="1" xfId="0" applyFont="1" applyFill="1" applyBorder="1" applyAlignment="1">
      <alignment horizontal="left" vertical="center" wrapText="1"/>
    </xf>
    <xf numFmtId="20" fontId="38" fillId="5" borderId="1" xfId="0" applyNumberFormat="1" applyFont="1" applyFill="1" applyBorder="1" applyAlignment="1">
      <alignment horizontal="left" vertical="center" wrapText="1"/>
    </xf>
    <xf numFmtId="0" fontId="47" fillId="4" borderId="1" xfId="0" applyFont="1" applyFill="1" applyBorder="1" applyAlignment="1">
      <alignment horizontal="left" vertical="center"/>
    </xf>
    <xf numFmtId="0" fontId="48" fillId="3" borderId="1" xfId="0" applyFont="1" applyFill="1" applyBorder="1" applyAlignment="1">
      <alignment horizontal="center" vertical="center" wrapText="1"/>
    </xf>
    <xf numFmtId="0" fontId="49" fillId="4" borderId="1" xfId="0" applyFont="1" applyFill="1" applyBorder="1" applyAlignment="1">
      <alignment horizontal="left" vertical="center" wrapText="1"/>
    </xf>
    <xf numFmtId="0" fontId="50" fillId="5" borderId="1" xfId="0" applyFont="1" applyFill="1" applyBorder="1" applyAlignment="1">
      <alignment horizontal="left" vertical="center" wrapText="1"/>
    </xf>
    <xf numFmtId="0" fontId="49" fillId="12" borderId="1" xfId="0" applyFont="1" applyFill="1" applyBorder="1" applyAlignment="1">
      <alignment horizontal="left" vertical="center" wrapText="1"/>
    </xf>
    <xf numFmtId="0" fontId="50" fillId="0" borderId="0" xfId="0" applyFont="1"/>
    <xf numFmtId="0" fontId="47" fillId="6" borderId="1" xfId="0" applyFont="1" applyFill="1" applyBorder="1" applyAlignment="1">
      <alignment horizontal="left" vertical="center" wrapText="1"/>
    </xf>
    <xf numFmtId="0" fontId="47" fillId="5" borderId="1" xfId="0" applyFont="1" applyFill="1" applyBorder="1" applyAlignment="1">
      <alignment horizontal="center" vertical="center"/>
    </xf>
    <xf numFmtId="9" fontId="32" fillId="5" borderId="1" xfId="0" applyNumberFormat="1" applyFont="1" applyFill="1" applyBorder="1" applyAlignment="1">
      <alignment horizontal="left" vertical="center" wrapText="1"/>
    </xf>
    <xf numFmtId="0" fontId="31" fillId="11" borderId="1" xfId="0" applyFont="1" applyFill="1" applyBorder="1" applyAlignment="1">
      <alignment horizontal="center" vertical="center" wrapText="1"/>
    </xf>
    <xf numFmtId="0" fontId="35" fillId="4" borderId="1" xfId="0" applyFont="1" applyFill="1" applyBorder="1" applyAlignment="1">
      <alignment horizontal="left" vertical="center"/>
    </xf>
    <xf numFmtId="0" fontId="33" fillId="5" borderId="1" xfId="0" applyFont="1" applyFill="1" applyBorder="1" applyAlignment="1">
      <alignment horizontal="left" vertical="center" wrapText="1"/>
    </xf>
    <xf numFmtId="16" fontId="33" fillId="5" borderId="1" xfId="0" quotePrefix="1" applyNumberFormat="1" applyFont="1" applyFill="1" applyBorder="1" applyAlignment="1">
      <alignment horizontal="left" vertical="center" wrapText="1"/>
    </xf>
    <xf numFmtId="0" fontId="33" fillId="5" borderId="1" xfId="0" quotePrefix="1" applyFont="1" applyFill="1" applyBorder="1" applyAlignment="1">
      <alignment horizontal="left" vertical="center" wrapText="1"/>
    </xf>
    <xf numFmtId="16" fontId="33" fillId="5" borderId="1" xfId="0" applyNumberFormat="1" applyFont="1" applyFill="1" applyBorder="1" applyAlignment="1">
      <alignment horizontal="left" vertical="center" wrapText="1"/>
    </xf>
    <xf numFmtId="0" fontId="35" fillId="5" borderId="1" xfId="0" applyFont="1" applyFill="1" applyBorder="1" applyAlignment="1">
      <alignment horizontal="center" vertical="center"/>
    </xf>
    <xf numFmtId="0" fontId="35" fillId="4" borderId="2" xfId="0" applyFont="1" applyFill="1" applyBorder="1" applyAlignment="1">
      <alignment horizontal="left" vertical="center" wrapText="1"/>
    </xf>
    <xf numFmtId="0" fontId="31" fillId="3" borderId="2" xfId="0" applyFont="1" applyFill="1" applyBorder="1" applyAlignment="1">
      <alignment horizontal="left" vertical="center" wrapText="1"/>
    </xf>
    <xf numFmtId="0" fontId="42" fillId="4" borderId="2" xfId="0" applyFont="1" applyFill="1" applyBorder="1" applyAlignment="1">
      <alignment horizontal="left" vertical="center" wrapText="1"/>
    </xf>
    <xf numFmtId="0" fontId="42" fillId="12" borderId="2" xfId="0" applyFont="1" applyFill="1" applyBorder="1" applyAlignment="1">
      <alignment horizontal="left" vertical="center" wrapText="1"/>
    </xf>
    <xf numFmtId="0" fontId="42" fillId="6" borderId="2" xfId="0" applyFont="1" applyFill="1" applyBorder="1" applyAlignment="1">
      <alignment horizontal="left" vertical="center" wrapText="1"/>
    </xf>
    <xf numFmtId="0" fontId="42" fillId="5" borderId="2" xfId="0" applyFont="1" applyFill="1" applyBorder="1" applyAlignment="1">
      <alignment horizontal="left" vertical="center" wrapText="1"/>
    </xf>
    <xf numFmtId="0" fontId="31" fillId="2" borderId="1" xfId="0" applyFont="1" applyFill="1" applyBorder="1" applyAlignment="1">
      <alignment horizontal="center" vertical="center" wrapText="1"/>
    </xf>
    <xf numFmtId="0" fontId="41" fillId="4" borderId="1" xfId="0" applyFont="1" applyFill="1" applyBorder="1" applyAlignment="1">
      <alignment horizontal="left" vertical="center" wrapText="1"/>
    </xf>
    <xf numFmtId="0" fontId="51" fillId="5" borderId="1" xfId="0" applyFont="1" applyFill="1" applyBorder="1" applyAlignment="1">
      <alignment horizontal="center" vertical="center"/>
    </xf>
    <xf numFmtId="0" fontId="32" fillId="4" borderId="1" xfId="0" applyFont="1" applyFill="1" applyBorder="1" applyAlignment="1">
      <alignment horizontal="center" vertical="center"/>
    </xf>
    <xf numFmtId="0" fontId="52" fillId="5" borderId="1" xfId="0" applyFont="1" applyFill="1" applyBorder="1" applyAlignment="1">
      <alignment horizontal="left" vertical="top" wrapText="1"/>
    </xf>
    <xf numFmtId="2" fontId="53" fillId="4" borderId="1" xfId="0" applyNumberFormat="1" applyFont="1" applyFill="1" applyBorder="1" applyAlignment="1">
      <alignment horizontal="center" vertical="center"/>
    </xf>
    <xf numFmtId="0" fontId="41" fillId="12" borderId="1" xfId="0" applyFont="1" applyFill="1" applyBorder="1" applyAlignment="1">
      <alignment horizontal="left" vertical="center" wrapText="1"/>
    </xf>
    <xf numFmtId="0" fontId="32" fillId="12" borderId="1" xfId="0" applyFont="1" applyFill="1" applyBorder="1" applyAlignment="1">
      <alignment horizontal="center" vertical="center"/>
    </xf>
    <xf numFmtId="2" fontId="53" fillId="12" borderId="1" xfId="0" applyNumberFormat="1" applyFont="1" applyFill="1" applyBorder="1" applyAlignment="1">
      <alignment horizontal="center" vertical="center"/>
    </xf>
    <xf numFmtId="0" fontId="54" fillId="2" borderId="1" xfId="0" applyFont="1" applyFill="1" applyBorder="1" applyAlignment="1">
      <alignment horizontal="center" vertical="center"/>
    </xf>
    <xf numFmtId="2" fontId="55" fillId="2" borderId="1" xfId="0" applyNumberFormat="1" applyFont="1" applyFill="1" applyBorder="1" applyAlignment="1">
      <alignment horizontal="center" vertical="center"/>
    </xf>
    <xf numFmtId="0" fontId="56" fillId="5" borderId="1" xfId="0" applyFont="1" applyFill="1" applyBorder="1" applyAlignment="1">
      <alignment horizontal="left" vertical="top" wrapText="1"/>
    </xf>
    <xf numFmtId="0" fontId="31" fillId="3" borderId="1" xfId="0" applyFont="1" applyFill="1" applyBorder="1" applyAlignment="1">
      <alignment horizontal="center" vertical="center" wrapText="1"/>
    </xf>
    <xf numFmtId="0" fontId="57" fillId="4" borderId="1" xfId="0" applyFont="1" applyFill="1" applyBorder="1" applyAlignment="1">
      <alignment horizontal="left" vertical="center"/>
    </xf>
    <xf numFmtId="0" fontId="42" fillId="5" borderId="1" xfId="0" applyFont="1" applyFill="1" applyBorder="1" applyAlignment="1">
      <alignment horizontal="left" vertical="center" wrapText="1"/>
    </xf>
    <xf numFmtId="0" fontId="31"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5A"/>
      <rgbColor rgb="FFCCCCCC"/>
      <rgbColor rgb="FF888888"/>
      <rgbColor rgb="FF9999FF"/>
      <rgbColor rgb="FF993366"/>
      <rgbColor rgb="FFFFF2CC"/>
      <rgbColor rgb="FFD6ED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E2EFDA"/>
      <rgbColor rgb="FFFFE0E0"/>
      <rgbColor rgb="FF99CCFF"/>
      <rgbColor rgb="FFFF99CC"/>
      <rgbColor rgb="FFCC99FF"/>
      <rgbColor rgb="FFFFD966"/>
      <rgbColor rgb="FF2E75B6"/>
      <rgbColor rgb="FF33CCCC"/>
      <rgbColor rgb="FF99CC00"/>
      <rgbColor rgb="FFFFCC00"/>
      <rgbColor rgb="FFFF9900"/>
      <rgbColor rgb="FFFF6600"/>
      <rgbColor rgb="FF666699"/>
      <rgbColor rgb="FF969696"/>
      <rgbColor rgb="FF1F3864"/>
      <rgbColor rgb="FF339966"/>
      <rgbColor rgb="FF003300"/>
      <rgbColor rgb="FF333300"/>
      <rgbColor rgb="FFA32D2D"/>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1031124</xdr:colOff>
      <xdr:row>13</xdr:row>
      <xdr:rowOff>1</xdr:rowOff>
    </xdr:from>
    <xdr:to>
      <xdr:col>5</xdr:col>
      <xdr:colOff>1302248</xdr:colOff>
      <xdr:row>14</xdr:row>
      <xdr:rowOff>15649</xdr:rowOff>
    </xdr:to>
    <xdr:pic>
      <xdr:nvPicPr>
        <xdr:cNvPr id="9" name="Picture 8">
          <a:extLst>
            <a:ext uri="{FF2B5EF4-FFF2-40B4-BE49-F238E27FC236}">
              <a16:creationId xmlns:a16="http://schemas.microsoft.com/office/drawing/2014/main" id="{C60D5013-32A5-B806-77C2-896C7A501702}"/>
            </a:ext>
          </a:extLst>
        </xdr:cNvPr>
        <xdr:cNvPicPr>
          <a:picLocks noChangeAspect="1"/>
        </xdr:cNvPicPr>
      </xdr:nvPicPr>
      <xdr:blipFill>
        <a:blip xmlns:r="http://schemas.openxmlformats.org/officeDocument/2006/relationships" r:embed="rId1"/>
        <a:stretch>
          <a:fillRect/>
        </a:stretch>
      </xdr:blipFill>
      <xdr:spPr>
        <a:xfrm>
          <a:off x="13503661" y="2852762"/>
          <a:ext cx="271124" cy="366320"/>
        </a:xfrm>
        <a:prstGeom prst="rect">
          <a:avLst/>
        </a:prstGeom>
      </xdr:spPr>
    </xdr:pic>
    <xdr:clientData/>
  </xdr:twoCellAnchor>
  <xdr:twoCellAnchor editAs="oneCell">
    <xdr:from>
      <xdr:col>5</xdr:col>
      <xdr:colOff>1990299</xdr:colOff>
      <xdr:row>13</xdr:row>
      <xdr:rowOff>270889</xdr:rowOff>
    </xdr:from>
    <xdr:to>
      <xdr:col>5</xdr:col>
      <xdr:colOff>2246194</xdr:colOff>
      <xdr:row>14</xdr:row>
      <xdr:rowOff>322541</xdr:rowOff>
    </xdr:to>
    <xdr:pic>
      <xdr:nvPicPr>
        <xdr:cNvPr id="10" name="Picture 9">
          <a:extLst>
            <a:ext uri="{FF2B5EF4-FFF2-40B4-BE49-F238E27FC236}">
              <a16:creationId xmlns:a16="http://schemas.microsoft.com/office/drawing/2014/main" id="{CF38A4F6-6DDE-72F0-5E35-D4D5F0290338}"/>
            </a:ext>
          </a:extLst>
        </xdr:cNvPr>
        <xdr:cNvPicPr>
          <a:picLocks noChangeAspect="1"/>
        </xdr:cNvPicPr>
      </xdr:nvPicPr>
      <xdr:blipFill>
        <a:blip xmlns:r="http://schemas.openxmlformats.org/officeDocument/2006/relationships" r:embed="rId2"/>
        <a:stretch>
          <a:fillRect/>
        </a:stretch>
      </xdr:blipFill>
      <xdr:spPr>
        <a:xfrm>
          <a:off x="14462836" y="3123650"/>
          <a:ext cx="255895" cy="402324"/>
        </a:xfrm>
        <a:prstGeom prst="rect">
          <a:avLst/>
        </a:prstGeom>
      </xdr:spPr>
    </xdr:pic>
    <xdr:clientData/>
  </xdr:twoCellAnchor>
  <xdr:twoCellAnchor editAs="oneCell">
    <xdr:from>
      <xdr:col>5</xdr:col>
      <xdr:colOff>816635</xdr:colOff>
      <xdr:row>14</xdr:row>
      <xdr:rowOff>211216</xdr:rowOff>
    </xdr:from>
    <xdr:to>
      <xdr:col>5</xdr:col>
      <xdr:colOff>1202940</xdr:colOff>
      <xdr:row>16</xdr:row>
      <xdr:rowOff>22737</xdr:rowOff>
    </xdr:to>
    <xdr:pic>
      <xdr:nvPicPr>
        <xdr:cNvPr id="2" name="Picture 1">
          <a:extLst>
            <a:ext uri="{FF2B5EF4-FFF2-40B4-BE49-F238E27FC236}">
              <a16:creationId xmlns:a16="http://schemas.microsoft.com/office/drawing/2014/main" id="{BAB1D4F2-4CA7-49B2-761A-47098B81B449}"/>
            </a:ext>
          </a:extLst>
        </xdr:cNvPr>
        <xdr:cNvPicPr>
          <a:picLocks noChangeAspect="1"/>
        </xdr:cNvPicPr>
      </xdr:nvPicPr>
      <xdr:blipFill>
        <a:blip xmlns:r="http://schemas.openxmlformats.org/officeDocument/2006/relationships" r:embed="rId3"/>
        <a:stretch>
          <a:fillRect/>
        </a:stretch>
      </xdr:blipFill>
      <xdr:spPr>
        <a:xfrm flipV="1">
          <a:off x="13279855" y="3386216"/>
          <a:ext cx="386305" cy="500335"/>
        </a:xfrm>
        <a:prstGeom prst="rect">
          <a:avLst/>
        </a:prstGeom>
      </xdr:spPr>
    </xdr:pic>
    <xdr:clientData/>
  </xdr:twoCellAnchor>
  <xdr:twoCellAnchor editAs="oneCell">
    <xdr:from>
      <xdr:col>5</xdr:col>
      <xdr:colOff>1489216</xdr:colOff>
      <xdr:row>16</xdr:row>
      <xdr:rowOff>64557</xdr:rowOff>
    </xdr:from>
    <xdr:to>
      <xdr:col>5</xdr:col>
      <xdr:colOff>1793629</xdr:colOff>
      <xdr:row>17</xdr:row>
      <xdr:rowOff>1621</xdr:rowOff>
    </xdr:to>
    <xdr:pic>
      <xdr:nvPicPr>
        <xdr:cNvPr id="3" name="Picture 2">
          <a:extLst>
            <a:ext uri="{FF2B5EF4-FFF2-40B4-BE49-F238E27FC236}">
              <a16:creationId xmlns:a16="http://schemas.microsoft.com/office/drawing/2014/main" id="{0139CC5C-2A32-B0D6-AF59-C5A151BD783F}"/>
            </a:ext>
          </a:extLst>
        </xdr:cNvPr>
        <xdr:cNvPicPr>
          <a:picLocks noChangeAspect="1"/>
        </xdr:cNvPicPr>
      </xdr:nvPicPr>
      <xdr:blipFill>
        <a:blip xmlns:r="http://schemas.openxmlformats.org/officeDocument/2006/relationships" r:embed="rId4"/>
        <a:stretch>
          <a:fillRect/>
        </a:stretch>
      </xdr:blipFill>
      <xdr:spPr>
        <a:xfrm>
          <a:off x="14632951" y="3981665"/>
          <a:ext cx="304413" cy="286028"/>
        </a:xfrm>
        <a:prstGeom prst="rect">
          <a:avLst/>
        </a:prstGeom>
      </xdr:spPr>
    </xdr:pic>
    <xdr:clientData/>
  </xdr:twoCellAnchor>
  <xdr:twoCellAnchor editAs="oneCell">
    <xdr:from>
      <xdr:col>5</xdr:col>
      <xdr:colOff>829027</xdr:colOff>
      <xdr:row>17</xdr:row>
      <xdr:rowOff>19742</xdr:rowOff>
    </xdr:from>
    <xdr:to>
      <xdr:col>5</xdr:col>
      <xdr:colOff>1239344</xdr:colOff>
      <xdr:row>17</xdr:row>
      <xdr:rowOff>332830</xdr:rowOff>
    </xdr:to>
    <xdr:pic>
      <xdr:nvPicPr>
        <xdr:cNvPr id="4" name="Picture 3">
          <a:extLst>
            <a:ext uri="{FF2B5EF4-FFF2-40B4-BE49-F238E27FC236}">
              <a16:creationId xmlns:a16="http://schemas.microsoft.com/office/drawing/2014/main" id="{7C2DE9B1-ABF5-FD2C-0765-D4211830BF76}"/>
            </a:ext>
          </a:extLst>
        </xdr:cNvPr>
        <xdr:cNvPicPr>
          <a:picLocks noChangeAspect="1"/>
        </xdr:cNvPicPr>
      </xdr:nvPicPr>
      <xdr:blipFill>
        <a:blip xmlns:r="http://schemas.openxmlformats.org/officeDocument/2006/relationships" r:embed="rId5"/>
        <a:stretch>
          <a:fillRect/>
        </a:stretch>
      </xdr:blipFill>
      <xdr:spPr>
        <a:xfrm>
          <a:off x="13967754" y="4303106"/>
          <a:ext cx="410317" cy="3130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699943</xdr:colOff>
      <xdr:row>13</xdr:row>
      <xdr:rowOff>10740</xdr:rowOff>
    </xdr:from>
    <xdr:to>
      <xdr:col>5</xdr:col>
      <xdr:colOff>1031875</xdr:colOff>
      <xdr:row>14</xdr:row>
      <xdr:rowOff>5633</xdr:rowOff>
    </xdr:to>
    <xdr:pic>
      <xdr:nvPicPr>
        <xdr:cNvPr id="3" name="Picture 2">
          <a:extLst>
            <a:ext uri="{FF2B5EF4-FFF2-40B4-BE49-F238E27FC236}">
              <a16:creationId xmlns:a16="http://schemas.microsoft.com/office/drawing/2014/main" id="{C4B7FBBB-DDD4-150E-588D-46E0A55CAC87}"/>
            </a:ext>
          </a:extLst>
        </xdr:cNvPr>
        <xdr:cNvPicPr>
          <a:picLocks noChangeAspect="1"/>
        </xdr:cNvPicPr>
      </xdr:nvPicPr>
      <xdr:blipFill>
        <a:blip xmlns:r="http://schemas.openxmlformats.org/officeDocument/2006/relationships" r:embed="rId1"/>
        <a:stretch>
          <a:fillRect/>
        </a:stretch>
      </xdr:blipFill>
      <xdr:spPr>
        <a:xfrm flipV="1">
          <a:off x="10960966" y="2875456"/>
          <a:ext cx="331932" cy="341257"/>
        </a:xfrm>
        <a:prstGeom prst="rect">
          <a:avLst/>
        </a:prstGeom>
      </xdr:spPr>
    </xdr:pic>
    <xdr:clientData/>
  </xdr:twoCellAnchor>
  <xdr:twoCellAnchor editAs="oneCell">
    <xdr:from>
      <xdr:col>5</xdr:col>
      <xdr:colOff>1638300</xdr:colOff>
      <xdr:row>16</xdr:row>
      <xdr:rowOff>15010</xdr:rowOff>
    </xdr:from>
    <xdr:to>
      <xdr:col>5</xdr:col>
      <xdr:colOff>1892300</xdr:colOff>
      <xdr:row>17</xdr:row>
      <xdr:rowOff>11722</xdr:rowOff>
    </xdr:to>
    <xdr:pic>
      <xdr:nvPicPr>
        <xdr:cNvPr id="4" name="Picture 3">
          <a:extLst>
            <a:ext uri="{FF2B5EF4-FFF2-40B4-BE49-F238E27FC236}">
              <a16:creationId xmlns:a16="http://schemas.microsoft.com/office/drawing/2014/main" id="{86C8A843-D035-6751-2314-EC5DE968F801}"/>
            </a:ext>
          </a:extLst>
        </xdr:cNvPr>
        <xdr:cNvPicPr>
          <a:picLocks noChangeAspect="1"/>
        </xdr:cNvPicPr>
      </xdr:nvPicPr>
      <xdr:blipFill>
        <a:blip xmlns:r="http://schemas.openxmlformats.org/officeDocument/2006/relationships" r:embed="rId2"/>
        <a:stretch>
          <a:fillRect/>
        </a:stretch>
      </xdr:blipFill>
      <xdr:spPr>
        <a:xfrm>
          <a:off x="11899900" y="3920260"/>
          <a:ext cx="254000" cy="345962"/>
        </a:xfrm>
        <a:prstGeom prst="rect">
          <a:avLst/>
        </a:prstGeom>
      </xdr:spPr>
    </xdr:pic>
    <xdr:clientData/>
  </xdr:twoCellAnchor>
  <xdr:twoCellAnchor editAs="oneCell">
    <xdr:from>
      <xdr:col>5</xdr:col>
      <xdr:colOff>1803977</xdr:colOff>
      <xdr:row>13</xdr:row>
      <xdr:rowOff>343922</xdr:rowOff>
    </xdr:from>
    <xdr:to>
      <xdr:col>5</xdr:col>
      <xdr:colOff>2128693</xdr:colOff>
      <xdr:row>15</xdr:row>
      <xdr:rowOff>4266</xdr:rowOff>
    </xdr:to>
    <xdr:pic>
      <xdr:nvPicPr>
        <xdr:cNvPr id="5" name="Picture 4">
          <a:extLst>
            <a:ext uri="{FF2B5EF4-FFF2-40B4-BE49-F238E27FC236}">
              <a16:creationId xmlns:a16="http://schemas.microsoft.com/office/drawing/2014/main" id="{388BA6BC-E95E-752B-DE38-3E8AA092B8C9}"/>
            </a:ext>
          </a:extLst>
        </xdr:cNvPr>
        <xdr:cNvPicPr>
          <a:picLocks noChangeAspect="1"/>
        </xdr:cNvPicPr>
      </xdr:nvPicPr>
      <xdr:blipFill>
        <a:blip xmlns:r="http://schemas.openxmlformats.org/officeDocument/2006/relationships" r:embed="rId3"/>
        <a:stretch>
          <a:fillRect/>
        </a:stretch>
      </xdr:blipFill>
      <xdr:spPr>
        <a:xfrm>
          <a:off x="12065000" y="3208638"/>
          <a:ext cx="324716" cy="353071"/>
        </a:xfrm>
        <a:prstGeom prst="rect">
          <a:avLst/>
        </a:prstGeom>
      </xdr:spPr>
    </xdr:pic>
    <xdr:clientData/>
  </xdr:twoCellAnchor>
  <xdr:twoCellAnchor editAs="oneCell">
    <xdr:from>
      <xdr:col>5</xdr:col>
      <xdr:colOff>1249617</xdr:colOff>
      <xdr:row>13</xdr:row>
      <xdr:rowOff>26988</xdr:rowOff>
    </xdr:from>
    <xdr:to>
      <xdr:col>5</xdr:col>
      <xdr:colOff>1574800</xdr:colOff>
      <xdr:row>14</xdr:row>
      <xdr:rowOff>19995</xdr:rowOff>
    </xdr:to>
    <xdr:pic>
      <xdr:nvPicPr>
        <xdr:cNvPr id="6" name="Picture 5">
          <a:extLst>
            <a:ext uri="{FF2B5EF4-FFF2-40B4-BE49-F238E27FC236}">
              <a16:creationId xmlns:a16="http://schemas.microsoft.com/office/drawing/2014/main" id="{CA63CE3E-1D02-87D2-F278-241CC3200B8C}"/>
            </a:ext>
          </a:extLst>
        </xdr:cNvPr>
        <xdr:cNvPicPr>
          <a:picLocks noChangeAspect="1"/>
        </xdr:cNvPicPr>
      </xdr:nvPicPr>
      <xdr:blipFill>
        <a:blip xmlns:r="http://schemas.openxmlformats.org/officeDocument/2006/relationships" r:embed="rId4"/>
        <a:stretch>
          <a:fillRect/>
        </a:stretch>
      </xdr:blipFill>
      <xdr:spPr>
        <a:xfrm>
          <a:off x="11511217" y="2884488"/>
          <a:ext cx="325183" cy="342257"/>
        </a:xfrm>
        <a:prstGeom prst="rect">
          <a:avLst/>
        </a:prstGeom>
      </xdr:spPr>
    </xdr:pic>
    <xdr:clientData/>
  </xdr:twoCellAnchor>
  <xdr:twoCellAnchor editAs="oneCell">
    <xdr:from>
      <xdr:col>5</xdr:col>
      <xdr:colOff>914400</xdr:colOff>
      <xdr:row>14</xdr:row>
      <xdr:rowOff>326188</xdr:rowOff>
    </xdr:from>
    <xdr:to>
      <xdr:col>5</xdr:col>
      <xdr:colOff>1286254</xdr:colOff>
      <xdr:row>16</xdr:row>
      <xdr:rowOff>32161</xdr:rowOff>
    </xdr:to>
    <xdr:pic>
      <xdr:nvPicPr>
        <xdr:cNvPr id="7" name="Picture 6">
          <a:extLst>
            <a:ext uri="{FF2B5EF4-FFF2-40B4-BE49-F238E27FC236}">
              <a16:creationId xmlns:a16="http://schemas.microsoft.com/office/drawing/2014/main" id="{6F09C4A3-8CAE-A633-2F1F-6FA9D1E6B4CF}"/>
            </a:ext>
          </a:extLst>
        </xdr:cNvPr>
        <xdr:cNvPicPr>
          <a:picLocks noChangeAspect="1"/>
        </xdr:cNvPicPr>
      </xdr:nvPicPr>
      <xdr:blipFill>
        <a:blip xmlns:r="http://schemas.openxmlformats.org/officeDocument/2006/relationships" r:embed="rId5"/>
        <a:stretch>
          <a:fillRect/>
        </a:stretch>
      </xdr:blipFill>
      <xdr:spPr>
        <a:xfrm>
          <a:off x="11176000" y="3532938"/>
          <a:ext cx="371854" cy="404473"/>
        </a:xfrm>
        <a:prstGeom prst="rect">
          <a:avLst/>
        </a:prstGeom>
      </xdr:spPr>
    </xdr:pic>
    <xdr:clientData/>
  </xdr:twoCellAnchor>
  <xdr:twoCellAnchor editAs="oneCell">
    <xdr:from>
      <xdr:col>5</xdr:col>
      <xdr:colOff>179718</xdr:colOff>
      <xdr:row>16</xdr:row>
      <xdr:rowOff>194137</xdr:rowOff>
    </xdr:from>
    <xdr:to>
      <xdr:col>5</xdr:col>
      <xdr:colOff>862640</xdr:colOff>
      <xdr:row>18</xdr:row>
      <xdr:rowOff>62574</xdr:rowOff>
    </xdr:to>
    <xdr:pic>
      <xdr:nvPicPr>
        <xdr:cNvPr id="2" name="Picture 1">
          <a:extLst>
            <a:ext uri="{FF2B5EF4-FFF2-40B4-BE49-F238E27FC236}">
              <a16:creationId xmlns:a16="http://schemas.microsoft.com/office/drawing/2014/main" id="{7E73F19D-C3F6-B570-7858-6E38FB617E94}"/>
            </a:ext>
          </a:extLst>
        </xdr:cNvPr>
        <xdr:cNvPicPr>
          <a:picLocks noChangeAspect="1"/>
        </xdr:cNvPicPr>
      </xdr:nvPicPr>
      <xdr:blipFill>
        <a:blip xmlns:r="http://schemas.openxmlformats.org/officeDocument/2006/relationships" r:embed="rId6"/>
        <a:stretch>
          <a:fillRect/>
        </a:stretch>
      </xdr:blipFill>
      <xdr:spPr>
        <a:xfrm>
          <a:off x="14005944" y="4076024"/>
          <a:ext cx="682922" cy="563342"/>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1"/>
  <sheetViews>
    <sheetView showGridLines="0" topLeftCell="A21" zoomScaleNormal="100" workbookViewId="0">
      <selection activeCell="E30" sqref="E30"/>
    </sheetView>
  </sheetViews>
  <sheetFormatPr defaultColWidth="8.6328125" defaultRowHeight="14.5" x14ac:dyDescent="0.35"/>
  <cols>
    <col min="1" max="1" width="3" customWidth="1"/>
    <col min="2" max="2" width="26" customWidth="1"/>
    <col min="3" max="3" width="28" customWidth="1"/>
    <col min="4" max="4" width="26" customWidth="1"/>
    <col min="5" max="5" width="51.36328125" customWidth="1"/>
    <col min="6" max="6" width="5" customWidth="1"/>
  </cols>
  <sheetData>
    <row r="1" spans="2:5" ht="36" customHeight="1" x14ac:dyDescent="0.35">
      <c r="B1" s="128" t="s">
        <v>0</v>
      </c>
      <c r="C1" s="128"/>
      <c r="D1" s="128"/>
      <c r="E1" s="128"/>
    </row>
    <row r="2" spans="2:5" ht="19.5" customHeight="1" x14ac:dyDescent="0.35">
      <c r="B2" s="129" t="s">
        <v>1</v>
      </c>
      <c r="C2" s="129"/>
      <c r="D2" s="129"/>
      <c r="E2" s="129"/>
    </row>
    <row r="3" spans="2:5" ht="7.5" customHeight="1" x14ac:dyDescent="0.35"/>
    <row r="4" spans="2:5" ht="15.75" customHeight="1" x14ac:dyDescent="0.35">
      <c r="B4" s="120" t="s">
        <v>2</v>
      </c>
      <c r="C4" s="120"/>
      <c r="D4" s="120"/>
      <c r="E4" s="120"/>
    </row>
    <row r="5" spans="2:5" ht="18" customHeight="1" x14ac:dyDescent="0.35">
      <c r="B5" s="6" t="s">
        <v>3</v>
      </c>
      <c r="C5" s="5" t="s">
        <v>533</v>
      </c>
      <c r="D5" s="7"/>
      <c r="E5" s="7"/>
    </row>
    <row r="6" spans="2:5" ht="18" customHeight="1" x14ac:dyDescent="0.35">
      <c r="B6" s="6" t="s">
        <v>4</v>
      </c>
      <c r="C6" s="5" t="s">
        <v>534</v>
      </c>
      <c r="D6" s="7"/>
      <c r="E6" s="7"/>
    </row>
    <row r="7" spans="2:5" ht="18" customHeight="1" x14ac:dyDescent="0.35">
      <c r="B7" s="6" t="s">
        <v>5</v>
      </c>
      <c r="C7" s="5"/>
      <c r="D7" s="7"/>
      <c r="E7" s="7"/>
    </row>
    <row r="8" spans="2:5" ht="18" customHeight="1" x14ac:dyDescent="0.35">
      <c r="B8" s="6" t="s">
        <v>6</v>
      </c>
      <c r="C8" s="5" t="s">
        <v>535</v>
      </c>
      <c r="D8" s="7"/>
      <c r="E8" s="7"/>
    </row>
    <row r="9" spans="2:5" ht="18" customHeight="1" x14ac:dyDescent="0.35">
      <c r="B9" s="6" t="s">
        <v>7</v>
      </c>
      <c r="C9" s="5" t="s">
        <v>536</v>
      </c>
      <c r="D9" s="7"/>
      <c r="E9" s="7"/>
    </row>
    <row r="10" spans="2:5" ht="18" customHeight="1" x14ac:dyDescent="0.35">
      <c r="B10" s="6" t="s">
        <v>8</v>
      </c>
      <c r="C10" s="5">
        <v>11</v>
      </c>
      <c r="D10" s="7"/>
      <c r="E10" s="7"/>
    </row>
    <row r="11" spans="2:5" ht="18" customHeight="1" x14ac:dyDescent="0.35">
      <c r="B11" s="6" t="s">
        <v>9</v>
      </c>
      <c r="C11" s="5" t="s">
        <v>537</v>
      </c>
      <c r="D11" s="7"/>
      <c r="E11" s="7"/>
    </row>
    <row r="12" spans="2:5" ht="7.5" customHeight="1" x14ac:dyDescent="0.35"/>
    <row r="13" spans="2:5" ht="15.75" customHeight="1" x14ac:dyDescent="0.35">
      <c r="B13" s="120" t="s">
        <v>10</v>
      </c>
      <c r="C13" s="120"/>
      <c r="D13" s="120"/>
      <c r="E13" s="120"/>
    </row>
    <row r="14" spans="2:5" ht="15.75" customHeight="1" x14ac:dyDescent="0.35">
      <c r="B14" s="130" t="s">
        <v>11</v>
      </c>
      <c r="C14" s="130"/>
      <c r="D14" s="130"/>
      <c r="E14" s="130"/>
    </row>
    <row r="15" spans="2:5" ht="18" customHeight="1" x14ac:dyDescent="0.35">
      <c r="B15" s="1" t="s">
        <v>12</v>
      </c>
      <c r="C15" s="1" t="s">
        <v>13</v>
      </c>
      <c r="D15" s="1" t="s">
        <v>14</v>
      </c>
      <c r="E15" s="1" t="s">
        <v>15</v>
      </c>
    </row>
    <row r="16" spans="2:5" ht="16.5" customHeight="1" x14ac:dyDescent="0.35">
      <c r="B16" s="8" t="s">
        <v>16</v>
      </c>
      <c r="C16" s="9" t="s">
        <v>17</v>
      </c>
      <c r="D16" s="9" t="s">
        <v>18</v>
      </c>
      <c r="E16" s="9" t="s">
        <v>19</v>
      </c>
    </row>
    <row r="17" spans="2:5" ht="16.5" customHeight="1" x14ac:dyDescent="0.35">
      <c r="B17" s="10" t="s">
        <v>20</v>
      </c>
      <c r="C17" s="11" t="s">
        <v>21</v>
      </c>
      <c r="D17" s="11" t="s">
        <v>22</v>
      </c>
      <c r="E17" s="11" t="s">
        <v>23</v>
      </c>
    </row>
    <row r="18" spans="2:5" ht="16.5" customHeight="1" x14ac:dyDescent="0.35">
      <c r="B18" s="12" t="s">
        <v>24</v>
      </c>
      <c r="C18" s="13" t="s">
        <v>25</v>
      </c>
      <c r="D18" s="13" t="s">
        <v>26</v>
      </c>
      <c r="E18" s="13" t="s">
        <v>27</v>
      </c>
    </row>
    <row r="19" spans="2:5" ht="16.5" customHeight="1" x14ac:dyDescent="0.35">
      <c r="B19" s="14" t="s">
        <v>28</v>
      </c>
      <c r="C19" s="15" t="s">
        <v>29</v>
      </c>
      <c r="D19" s="15" t="s">
        <v>30</v>
      </c>
      <c r="E19" s="15" t="s">
        <v>31</v>
      </c>
    </row>
    <row r="20" spans="2:5" ht="16.5" customHeight="1" x14ac:dyDescent="0.35">
      <c r="B20" s="16" t="s">
        <v>32</v>
      </c>
      <c r="C20" s="17" t="s">
        <v>33</v>
      </c>
      <c r="D20" s="17" t="s">
        <v>34</v>
      </c>
      <c r="E20" s="17" t="s">
        <v>35</v>
      </c>
    </row>
    <row r="21" spans="2:5" ht="16.5" customHeight="1" x14ac:dyDescent="0.35">
      <c r="B21" s="18" t="s">
        <v>36</v>
      </c>
      <c r="C21" s="19" t="s">
        <v>37</v>
      </c>
      <c r="D21" s="19" t="s">
        <v>38</v>
      </c>
      <c r="E21" s="19" t="s">
        <v>39</v>
      </c>
    </row>
    <row r="22" spans="2:5" ht="7.5" customHeight="1" x14ac:dyDescent="0.35"/>
    <row r="23" spans="2:5" ht="15.75" customHeight="1" x14ac:dyDescent="0.35">
      <c r="B23" s="120" t="s">
        <v>40</v>
      </c>
      <c r="C23" s="120"/>
      <c r="D23" s="120"/>
      <c r="E23" s="120"/>
    </row>
    <row r="24" spans="2:5" ht="15.75" customHeight="1" x14ac:dyDescent="0.35">
      <c r="B24" s="6" t="s">
        <v>41</v>
      </c>
      <c r="C24" s="6" t="s">
        <v>42</v>
      </c>
      <c r="D24" s="6" t="s">
        <v>43</v>
      </c>
      <c r="E24" s="6" t="s">
        <v>544</v>
      </c>
    </row>
    <row r="25" spans="2:5" ht="19.5" customHeight="1" x14ac:dyDescent="0.35">
      <c r="B25" s="5" t="s">
        <v>36</v>
      </c>
      <c r="C25" s="5" t="s">
        <v>542</v>
      </c>
      <c r="D25" t="s">
        <v>543</v>
      </c>
      <c r="E25" s="5" t="s">
        <v>545</v>
      </c>
    </row>
    <row r="26" spans="2:5" ht="7.5" customHeight="1" x14ac:dyDescent="0.35"/>
    <row r="27" spans="2:5" ht="15.75" customHeight="1" x14ac:dyDescent="0.35">
      <c r="B27" s="120" t="s">
        <v>44</v>
      </c>
      <c r="C27" s="120"/>
      <c r="D27" s="120"/>
      <c r="E27" s="120"/>
    </row>
    <row r="28" spans="2:5" ht="15.75" customHeight="1" x14ac:dyDescent="0.35">
      <c r="B28" s="4" t="s">
        <v>45</v>
      </c>
      <c r="C28" s="4" t="s">
        <v>13</v>
      </c>
      <c r="D28" s="4" t="s">
        <v>45</v>
      </c>
      <c r="E28" s="4" t="s">
        <v>14</v>
      </c>
    </row>
    <row r="29" spans="2:5" ht="18" customHeight="1" x14ac:dyDescent="0.35">
      <c r="B29" s="6" t="s">
        <v>46</v>
      </c>
      <c r="C29" s="5" t="s">
        <v>542</v>
      </c>
      <c r="D29" s="6" t="s">
        <v>46</v>
      </c>
      <c r="E29" s="5" t="s">
        <v>543</v>
      </c>
    </row>
    <row r="30" spans="2:5" ht="18" customHeight="1" x14ac:dyDescent="0.35">
      <c r="B30" s="6" t="s">
        <v>47</v>
      </c>
      <c r="C30" t="s">
        <v>546</v>
      </c>
      <c r="D30" s="6" t="s">
        <v>47</v>
      </c>
      <c r="E30" s="101" t="s">
        <v>549</v>
      </c>
    </row>
    <row r="31" spans="2:5" ht="18" customHeight="1" x14ac:dyDescent="0.35">
      <c r="B31" s="6" t="s">
        <v>48</v>
      </c>
      <c r="C31" t="s">
        <v>538</v>
      </c>
      <c r="D31" s="6" t="s">
        <v>48</v>
      </c>
      <c r="E31" t="s">
        <v>538</v>
      </c>
    </row>
    <row r="32" spans="2:5" ht="18" customHeight="1" x14ac:dyDescent="0.35">
      <c r="B32" s="6" t="s">
        <v>49</v>
      </c>
      <c r="C32" t="s">
        <v>547</v>
      </c>
      <c r="D32" s="6" t="s">
        <v>49</v>
      </c>
      <c r="E32" t="s">
        <v>548</v>
      </c>
    </row>
    <row r="33" spans="2:5" ht="18" customHeight="1" x14ac:dyDescent="0.35">
      <c r="B33" s="6" t="s">
        <v>50</v>
      </c>
      <c r="C33" s="5">
        <v>4.4000000000000004</v>
      </c>
      <c r="D33" s="6" t="s">
        <v>50</v>
      </c>
      <c r="E33" s="5">
        <v>4.5999999999999996</v>
      </c>
    </row>
    <row r="34" spans="2:5" ht="18" customHeight="1" x14ac:dyDescent="0.35">
      <c r="B34" s="6" t="s">
        <v>51</v>
      </c>
      <c r="C34" s="102">
        <v>46130</v>
      </c>
      <c r="D34" s="6" t="s">
        <v>51</v>
      </c>
      <c r="E34" s="103">
        <v>46135</v>
      </c>
    </row>
    <row r="35" spans="2:5" ht="7.5" customHeight="1" x14ac:dyDescent="0.35"/>
    <row r="36" spans="2:5" ht="15.75" customHeight="1" x14ac:dyDescent="0.35">
      <c r="B36" s="120" t="s">
        <v>52</v>
      </c>
      <c r="C36" s="120"/>
      <c r="D36" s="120"/>
      <c r="E36" s="120"/>
    </row>
    <row r="37" spans="2:5" ht="15.75" customHeight="1" x14ac:dyDescent="0.35">
      <c r="B37" s="20" t="s">
        <v>53</v>
      </c>
      <c r="C37" s="20" t="s">
        <v>54</v>
      </c>
      <c r="D37" s="20" t="s">
        <v>55</v>
      </c>
      <c r="E37" s="20" t="s">
        <v>56</v>
      </c>
    </row>
    <row r="38" spans="2:5" ht="18" customHeight="1" x14ac:dyDescent="0.35">
      <c r="B38" s="2" t="s">
        <v>57</v>
      </c>
      <c r="C38" s="2" t="s">
        <v>58</v>
      </c>
      <c r="D38" s="2" t="s">
        <v>59</v>
      </c>
      <c r="E38" s="21"/>
    </row>
    <row r="39" spans="2:5" ht="18" customHeight="1" x14ac:dyDescent="0.35">
      <c r="B39" s="2" t="s">
        <v>60</v>
      </c>
      <c r="C39" s="2" t="s">
        <v>61</v>
      </c>
      <c r="D39" s="2" t="s">
        <v>59</v>
      </c>
      <c r="E39" s="21"/>
    </row>
    <row r="40" spans="2:5" ht="18" customHeight="1" x14ac:dyDescent="0.35">
      <c r="B40" s="2" t="s">
        <v>62</v>
      </c>
      <c r="C40" s="2" t="s">
        <v>63</v>
      </c>
      <c r="D40" s="2" t="s">
        <v>59</v>
      </c>
      <c r="E40" s="21"/>
    </row>
    <row r="41" spans="2:5" ht="18" customHeight="1" x14ac:dyDescent="0.35">
      <c r="B41" s="2" t="s">
        <v>64</v>
      </c>
      <c r="C41" s="2" t="s">
        <v>65</v>
      </c>
      <c r="D41" s="2" t="s">
        <v>66</v>
      </c>
      <c r="E41" s="21"/>
    </row>
    <row r="42" spans="2:5" ht="18" customHeight="1" x14ac:dyDescent="0.35">
      <c r="B42" s="2" t="s">
        <v>67</v>
      </c>
      <c r="C42" s="2" t="s">
        <v>68</v>
      </c>
      <c r="D42" s="2" t="s">
        <v>66</v>
      </c>
      <c r="E42" s="21"/>
    </row>
    <row r="43" spans="2:5" ht="18" customHeight="1" x14ac:dyDescent="0.35">
      <c r="B43" s="2" t="s">
        <v>69</v>
      </c>
      <c r="C43" s="2" t="s">
        <v>70</v>
      </c>
      <c r="D43" s="2" t="s">
        <v>66</v>
      </c>
      <c r="E43" s="21"/>
    </row>
    <row r="44" spans="2:5" ht="7.5" customHeight="1" x14ac:dyDescent="0.35"/>
    <row r="45" spans="2:5" ht="15.75" customHeight="1" x14ac:dyDescent="0.35">
      <c r="B45" s="120" t="s">
        <v>71</v>
      </c>
      <c r="C45" s="120"/>
      <c r="D45" s="120"/>
      <c r="E45" s="120"/>
    </row>
    <row r="46" spans="2:5" ht="15.75" customHeight="1" x14ac:dyDescent="0.35">
      <c r="B46" s="20" t="s">
        <v>72</v>
      </c>
      <c r="C46" s="20" t="s">
        <v>73</v>
      </c>
      <c r="D46" s="20" t="s">
        <v>74</v>
      </c>
      <c r="E46" s="20" t="s">
        <v>75</v>
      </c>
    </row>
    <row r="47" spans="2:5" ht="21.75" customHeight="1" x14ac:dyDescent="0.35">
      <c r="B47" s="22">
        <v>5</v>
      </c>
      <c r="C47" s="22" t="s">
        <v>76</v>
      </c>
      <c r="D47" s="21" t="s">
        <v>77</v>
      </c>
      <c r="E47" s="21" t="s">
        <v>78</v>
      </c>
    </row>
    <row r="48" spans="2:5" ht="21.75" customHeight="1" x14ac:dyDescent="0.35">
      <c r="B48" s="23">
        <v>4</v>
      </c>
      <c r="C48" s="23" t="s">
        <v>79</v>
      </c>
      <c r="D48" s="24" t="s">
        <v>80</v>
      </c>
      <c r="E48" s="24" t="s">
        <v>81</v>
      </c>
    </row>
    <row r="49" spans="2:5" ht="21.75" customHeight="1" x14ac:dyDescent="0.35">
      <c r="B49" s="25">
        <v>3</v>
      </c>
      <c r="C49" s="25" t="s">
        <v>82</v>
      </c>
      <c r="D49" s="26" t="s">
        <v>83</v>
      </c>
      <c r="E49" s="26" t="s">
        <v>84</v>
      </c>
    </row>
    <row r="50" spans="2:5" ht="21.75" customHeight="1" x14ac:dyDescent="0.35">
      <c r="B50" s="27">
        <v>2</v>
      </c>
      <c r="C50" s="27" t="s">
        <v>85</v>
      </c>
      <c r="D50" s="28" t="s">
        <v>86</v>
      </c>
      <c r="E50" s="28" t="s">
        <v>87</v>
      </c>
    </row>
    <row r="51" spans="2:5" ht="21.75" customHeight="1" x14ac:dyDescent="0.35">
      <c r="B51" s="29">
        <v>1</v>
      </c>
      <c r="C51" s="29" t="s">
        <v>88</v>
      </c>
      <c r="D51" s="30" t="s">
        <v>89</v>
      </c>
      <c r="E51" s="30" t="s">
        <v>90</v>
      </c>
    </row>
  </sheetData>
  <mergeCells count="9">
    <mergeCell ref="B23:E23"/>
    <mergeCell ref="B27:E27"/>
    <mergeCell ref="B36:E36"/>
    <mergeCell ref="B45:E45"/>
    <mergeCell ref="B1:E1"/>
    <mergeCell ref="B2:E2"/>
    <mergeCell ref="B4:E4"/>
    <mergeCell ref="B13:E13"/>
    <mergeCell ref="B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91"/>
  <sheetViews>
    <sheetView showGridLines="0" topLeftCell="A81" zoomScale="70" zoomScaleNormal="372" workbookViewId="0">
      <selection activeCell="D95" sqref="D95"/>
    </sheetView>
  </sheetViews>
  <sheetFormatPr defaultColWidth="8.6328125" defaultRowHeight="14.5" x14ac:dyDescent="0.35"/>
  <cols>
    <col min="1" max="1" width="3" customWidth="1"/>
    <col min="2" max="2" width="22" customWidth="1"/>
    <col min="3" max="3" width="46.54296875" bestFit="1" customWidth="1"/>
    <col min="4" max="4" width="61.54296875" customWidth="1"/>
    <col min="5" max="5" width="99.7265625" customWidth="1"/>
    <col min="6" max="6" width="92.36328125" customWidth="1"/>
    <col min="7" max="7" width="5" customWidth="1"/>
  </cols>
  <sheetData>
    <row r="1" spans="2:6" ht="31.5" customHeight="1" x14ac:dyDescent="0.35">
      <c r="B1" s="118" t="s">
        <v>91</v>
      </c>
      <c r="C1" s="118"/>
      <c r="D1" s="118"/>
      <c r="E1" s="118"/>
      <c r="F1" s="118"/>
    </row>
    <row r="2" spans="2:6" ht="18" customHeight="1" x14ac:dyDescent="0.35">
      <c r="B2" s="131" t="s">
        <v>92</v>
      </c>
      <c r="C2" s="131"/>
      <c r="D2" s="131"/>
      <c r="E2" s="131"/>
      <c r="F2" s="131"/>
    </row>
    <row r="3" spans="2:6" ht="7.5" customHeight="1" x14ac:dyDescent="0.35"/>
    <row r="4" spans="2:6" ht="15.75" customHeight="1" x14ac:dyDescent="0.35">
      <c r="B4" s="120" t="s">
        <v>93</v>
      </c>
      <c r="C4" s="120"/>
      <c r="D4" s="120"/>
      <c r="E4" s="120"/>
      <c r="F4" s="120"/>
    </row>
    <row r="5" spans="2:6" ht="18" customHeight="1" x14ac:dyDescent="0.35">
      <c r="B5" s="6" t="s">
        <v>42</v>
      </c>
      <c r="C5" s="132" t="s">
        <v>542</v>
      </c>
      <c r="D5" s="133"/>
      <c r="E5" s="133"/>
      <c r="F5" s="133"/>
    </row>
    <row r="6" spans="2:6" ht="18" customHeight="1" x14ac:dyDescent="0.35">
      <c r="B6" s="6" t="s">
        <v>47</v>
      </c>
      <c r="C6" s="132" t="s">
        <v>546</v>
      </c>
      <c r="D6" s="133"/>
      <c r="E6" s="133"/>
      <c r="F6" s="133"/>
    </row>
    <row r="7" spans="2:6" ht="18" customHeight="1" x14ac:dyDescent="0.35">
      <c r="B7" s="6" t="s">
        <v>7</v>
      </c>
      <c r="C7" s="132" t="s">
        <v>539</v>
      </c>
      <c r="D7" s="133"/>
      <c r="E7" s="133"/>
      <c r="F7" s="133"/>
    </row>
    <row r="8" spans="2:6" ht="18" customHeight="1" x14ac:dyDescent="0.35">
      <c r="B8" s="6" t="s">
        <v>8</v>
      </c>
      <c r="C8" s="133">
        <v>11</v>
      </c>
      <c r="D8" s="133"/>
      <c r="E8" s="133"/>
      <c r="F8" s="133"/>
    </row>
    <row r="9" spans="2:6" ht="18" customHeight="1" x14ac:dyDescent="0.35">
      <c r="B9" s="6" t="s">
        <v>94</v>
      </c>
      <c r="C9" s="132" t="s">
        <v>540</v>
      </c>
      <c r="D9" s="133"/>
      <c r="E9" s="133"/>
      <c r="F9" s="133"/>
    </row>
    <row r="10" spans="2:6" ht="18" customHeight="1" x14ac:dyDescent="0.35">
      <c r="B10" s="6" t="s">
        <v>95</v>
      </c>
      <c r="C10" s="134">
        <v>6.25E-2</v>
      </c>
      <c r="D10" s="133"/>
      <c r="E10" s="133"/>
      <c r="F10" s="133"/>
    </row>
    <row r="11" spans="2:6" ht="9.75" customHeight="1" x14ac:dyDescent="0.35"/>
    <row r="12" spans="2:6" ht="15.75" customHeight="1" x14ac:dyDescent="0.35">
      <c r="B12" s="120"/>
      <c r="C12" s="120"/>
      <c r="D12" s="120"/>
      <c r="E12" s="120"/>
      <c r="F12" s="120"/>
    </row>
    <row r="13" spans="2:6" ht="19.5" customHeight="1" x14ac:dyDescent="0.35">
      <c r="B13" s="104" t="s">
        <v>96</v>
      </c>
      <c r="C13" s="104" t="s">
        <v>97</v>
      </c>
      <c r="D13" s="104" t="s">
        <v>98</v>
      </c>
      <c r="E13" s="104" t="s">
        <v>99</v>
      </c>
      <c r="F13" s="104" t="s">
        <v>100</v>
      </c>
    </row>
    <row r="14" spans="2:6" ht="27.75" customHeight="1" x14ac:dyDescent="0.35">
      <c r="B14" s="105" t="s">
        <v>101</v>
      </c>
      <c r="C14" s="153" t="s">
        <v>552</v>
      </c>
      <c r="D14" s="154" t="s">
        <v>551</v>
      </c>
      <c r="E14" s="155" t="s">
        <v>553</v>
      </c>
      <c r="F14" s="154"/>
    </row>
    <row r="15" spans="2:6" ht="27.75" customHeight="1" x14ac:dyDescent="0.35">
      <c r="B15" s="108" t="s">
        <v>102</v>
      </c>
      <c r="C15" s="156" t="s">
        <v>554</v>
      </c>
      <c r="D15" s="154" t="s">
        <v>541</v>
      </c>
      <c r="E15" s="157" t="s">
        <v>555</v>
      </c>
      <c r="F15" s="154"/>
    </row>
    <row r="16" spans="2:6" ht="27.75" customHeight="1" x14ac:dyDescent="0.35">
      <c r="B16" s="105" t="s">
        <v>103</v>
      </c>
      <c r="C16" s="153" t="s">
        <v>558</v>
      </c>
      <c r="D16" s="154" t="s">
        <v>556</v>
      </c>
      <c r="E16" s="154" t="s">
        <v>557</v>
      </c>
      <c r="F16" s="154"/>
    </row>
    <row r="17" spans="2:6" ht="27.75" customHeight="1" x14ac:dyDescent="0.35">
      <c r="B17" s="108" t="s">
        <v>104</v>
      </c>
      <c r="C17" s="156" t="s">
        <v>559</v>
      </c>
      <c r="D17" s="154" t="s">
        <v>541</v>
      </c>
      <c r="E17" s="157" t="s">
        <v>560</v>
      </c>
      <c r="F17" s="154"/>
    </row>
    <row r="18" spans="2:6" ht="27.75" customHeight="1" x14ac:dyDescent="0.35">
      <c r="B18" s="105" t="s">
        <v>105</v>
      </c>
      <c r="C18" s="153" t="s">
        <v>561</v>
      </c>
      <c r="D18" s="154" t="s">
        <v>550</v>
      </c>
      <c r="E18" s="154" t="s">
        <v>562</v>
      </c>
      <c r="F18" s="154"/>
    </row>
    <row r="19" spans="2:6" ht="24" customHeight="1" x14ac:dyDescent="0.35">
      <c r="B19" s="135" t="s">
        <v>709</v>
      </c>
      <c r="C19" s="135"/>
      <c r="D19" s="135"/>
      <c r="E19" s="110"/>
      <c r="F19" s="157"/>
    </row>
    <row r="20" spans="2:6" ht="9.75" customHeight="1" x14ac:dyDescent="0.35">
      <c r="B20" s="157"/>
      <c r="C20" s="157"/>
      <c r="D20" s="157"/>
      <c r="E20" s="157"/>
      <c r="F20" s="158" t="s">
        <v>563</v>
      </c>
    </row>
    <row r="21" spans="2:6" ht="15.75" customHeight="1" x14ac:dyDescent="0.35">
      <c r="B21" s="152" t="s">
        <v>107</v>
      </c>
      <c r="C21" s="152"/>
      <c r="D21" s="152"/>
      <c r="E21" s="152"/>
      <c r="F21" s="152"/>
    </row>
    <row r="22" spans="2:6" ht="19.5" customHeight="1" x14ac:dyDescent="0.35">
      <c r="B22" s="104" t="s">
        <v>108</v>
      </c>
      <c r="C22" s="104" t="s">
        <v>109</v>
      </c>
      <c r="D22" s="104" t="s">
        <v>110</v>
      </c>
      <c r="E22" s="104" t="s">
        <v>111</v>
      </c>
      <c r="F22" s="104" t="s">
        <v>99</v>
      </c>
    </row>
    <row r="23" spans="2:6" ht="24" customHeight="1" x14ac:dyDescent="0.35">
      <c r="B23" s="105" t="s">
        <v>112</v>
      </c>
      <c r="C23" s="105" t="s">
        <v>113</v>
      </c>
      <c r="D23" s="159" t="s">
        <v>564</v>
      </c>
      <c r="E23" s="105" t="s">
        <v>114</v>
      </c>
      <c r="F23" s="159" t="s">
        <v>565</v>
      </c>
    </row>
    <row r="24" spans="2:6" ht="24" customHeight="1" x14ac:dyDescent="0.35">
      <c r="B24" s="108" t="s">
        <v>115</v>
      </c>
      <c r="C24" s="108" t="s">
        <v>116</v>
      </c>
      <c r="D24" s="159" t="s">
        <v>566</v>
      </c>
      <c r="E24" s="108" t="s">
        <v>117</v>
      </c>
      <c r="F24" s="159" t="s">
        <v>567</v>
      </c>
    </row>
    <row r="25" spans="2:6" ht="24" customHeight="1" x14ac:dyDescent="0.35">
      <c r="B25" s="105" t="s">
        <v>118</v>
      </c>
      <c r="C25" s="105" t="s">
        <v>119</v>
      </c>
      <c r="D25" s="159" t="s">
        <v>568</v>
      </c>
      <c r="E25" s="105" t="s">
        <v>120</v>
      </c>
      <c r="F25" s="159" t="s">
        <v>569</v>
      </c>
    </row>
    <row r="26" spans="2:6" ht="24" customHeight="1" x14ac:dyDescent="0.35">
      <c r="B26" s="108" t="s">
        <v>121</v>
      </c>
      <c r="C26" s="108" t="s">
        <v>122</v>
      </c>
      <c r="D26" s="160">
        <v>1.4999999999999999E-2</v>
      </c>
      <c r="E26" s="108" t="s">
        <v>123</v>
      </c>
      <c r="F26" s="159" t="s">
        <v>570</v>
      </c>
    </row>
    <row r="27" spans="2:6" ht="24" customHeight="1" x14ac:dyDescent="0.35">
      <c r="B27" s="105" t="s">
        <v>124</v>
      </c>
      <c r="C27" s="105" t="s">
        <v>125</v>
      </c>
      <c r="D27" s="159" t="s">
        <v>571</v>
      </c>
      <c r="E27" s="105" t="s">
        <v>126</v>
      </c>
      <c r="F27" s="159" t="s">
        <v>572</v>
      </c>
    </row>
    <row r="28" spans="2:6" ht="24" customHeight="1" x14ac:dyDescent="0.35">
      <c r="B28" s="108" t="s">
        <v>127</v>
      </c>
      <c r="C28" s="108" t="s">
        <v>128</v>
      </c>
      <c r="D28" s="159" t="s">
        <v>573</v>
      </c>
      <c r="E28" s="108" t="s">
        <v>129</v>
      </c>
      <c r="F28" s="159" t="s">
        <v>574</v>
      </c>
    </row>
    <row r="29" spans="2:6" ht="24" customHeight="1" x14ac:dyDescent="0.35">
      <c r="B29" s="135" t="s">
        <v>586</v>
      </c>
      <c r="C29" s="135"/>
      <c r="D29" s="135"/>
      <c r="E29" s="110"/>
      <c r="F29" s="154" t="s">
        <v>575</v>
      </c>
    </row>
    <row r="30" spans="2:6" ht="9.75" customHeight="1" x14ac:dyDescent="0.35"/>
    <row r="31" spans="2:6" ht="15.75" customHeight="1" x14ac:dyDescent="0.35">
      <c r="B31" s="120" t="s">
        <v>130</v>
      </c>
      <c r="C31" s="120"/>
      <c r="D31" s="120"/>
      <c r="E31" s="120"/>
      <c r="F31" s="120"/>
    </row>
    <row r="32" spans="2:6" ht="19.5" customHeight="1" x14ac:dyDescent="0.35">
      <c r="B32" s="1" t="s">
        <v>131</v>
      </c>
      <c r="C32" s="1" t="s">
        <v>132</v>
      </c>
      <c r="D32" s="1" t="s">
        <v>133</v>
      </c>
      <c r="E32" s="1" t="s">
        <v>99</v>
      </c>
    </row>
    <row r="33" spans="2:6" ht="24" customHeight="1" x14ac:dyDescent="0.35">
      <c r="B33" s="31" t="s">
        <v>134</v>
      </c>
      <c r="C33" s="3" t="s">
        <v>135</v>
      </c>
      <c r="D33" s="26" t="s">
        <v>576</v>
      </c>
      <c r="E33" s="26" t="s">
        <v>577</v>
      </c>
    </row>
    <row r="34" spans="2:6" ht="24" customHeight="1" x14ac:dyDescent="0.35">
      <c r="B34" s="33" t="s">
        <v>136</v>
      </c>
      <c r="C34" s="2" t="s">
        <v>137</v>
      </c>
      <c r="D34" s="26" t="s">
        <v>578</v>
      </c>
      <c r="E34" s="26" t="s">
        <v>579</v>
      </c>
    </row>
    <row r="35" spans="2:6" ht="24" customHeight="1" x14ac:dyDescent="0.35">
      <c r="B35" s="31" t="s">
        <v>138</v>
      </c>
      <c r="C35" s="3" t="s">
        <v>139</v>
      </c>
      <c r="D35" s="26" t="s">
        <v>580</v>
      </c>
      <c r="E35" s="26" t="s">
        <v>581</v>
      </c>
    </row>
    <row r="36" spans="2:6" ht="24" customHeight="1" x14ac:dyDescent="0.35">
      <c r="B36" s="33" t="s">
        <v>140</v>
      </c>
      <c r="C36" s="2" t="s">
        <v>141</v>
      </c>
      <c r="D36" s="26" t="s">
        <v>541</v>
      </c>
      <c r="E36" s="26" t="s">
        <v>582</v>
      </c>
    </row>
    <row r="37" spans="2:6" ht="24" customHeight="1" x14ac:dyDescent="0.35">
      <c r="B37" s="31" t="s">
        <v>142</v>
      </c>
      <c r="C37" s="3" t="s">
        <v>143</v>
      </c>
      <c r="D37" s="26" t="s">
        <v>541</v>
      </c>
      <c r="E37" s="26" t="s">
        <v>583</v>
      </c>
    </row>
    <row r="38" spans="2:6" ht="24" customHeight="1" x14ac:dyDescent="0.35">
      <c r="B38" s="33" t="s">
        <v>144</v>
      </c>
      <c r="C38" s="2" t="s">
        <v>145</v>
      </c>
      <c r="D38" s="26" t="s">
        <v>541</v>
      </c>
      <c r="E38" s="26" t="s">
        <v>584</v>
      </c>
    </row>
    <row r="39" spans="2:6" ht="24" customHeight="1" x14ac:dyDescent="0.35">
      <c r="B39" s="31" t="s">
        <v>146</v>
      </c>
      <c r="C39" s="3" t="s">
        <v>147</v>
      </c>
      <c r="D39" s="26" t="s">
        <v>541</v>
      </c>
      <c r="E39" s="26" t="s">
        <v>585</v>
      </c>
    </row>
    <row r="40" spans="2:6" ht="24" customHeight="1" x14ac:dyDescent="0.35">
      <c r="B40" s="136" t="s">
        <v>668</v>
      </c>
      <c r="C40" s="136"/>
      <c r="D40" s="136"/>
      <c r="E40" s="32" t="s">
        <v>106</v>
      </c>
    </row>
    <row r="41" spans="2:6" ht="9.75" customHeight="1" x14ac:dyDescent="0.35"/>
    <row r="42" spans="2:6" ht="15.75" customHeight="1" x14ac:dyDescent="0.35">
      <c r="B42" s="120" t="s">
        <v>148</v>
      </c>
      <c r="C42" s="120"/>
      <c r="D42" s="120"/>
      <c r="E42" s="120"/>
      <c r="F42" s="120"/>
    </row>
    <row r="43" spans="2:6" ht="19.5" customHeight="1" x14ac:dyDescent="0.35">
      <c r="B43" s="1" t="s">
        <v>54</v>
      </c>
      <c r="C43" s="1" t="s">
        <v>149</v>
      </c>
      <c r="D43" s="1" t="s">
        <v>150</v>
      </c>
      <c r="E43" s="1" t="s">
        <v>151</v>
      </c>
      <c r="F43" s="1" t="s">
        <v>152</v>
      </c>
    </row>
    <row r="44" spans="2:6" ht="24" customHeight="1" x14ac:dyDescent="0.35">
      <c r="B44" s="31" t="s">
        <v>153</v>
      </c>
      <c r="C44" s="3" t="s">
        <v>154</v>
      </c>
      <c r="D44" s="26" t="s">
        <v>587</v>
      </c>
      <c r="E44" s="26" t="s">
        <v>598</v>
      </c>
      <c r="F44" s="26" t="s">
        <v>590</v>
      </c>
    </row>
    <row r="45" spans="2:6" ht="24" customHeight="1" x14ac:dyDescent="0.35">
      <c r="B45" s="33" t="s">
        <v>155</v>
      </c>
      <c r="C45" s="2" t="s">
        <v>156</v>
      </c>
      <c r="D45" s="26" t="s">
        <v>597</v>
      </c>
      <c r="E45" s="26" t="s">
        <v>595</v>
      </c>
      <c r="F45" s="26" t="s">
        <v>596</v>
      </c>
    </row>
    <row r="46" spans="2:6" ht="24" customHeight="1" x14ac:dyDescent="0.35">
      <c r="B46" s="31" t="s">
        <v>157</v>
      </c>
      <c r="C46" s="3" t="s">
        <v>158</v>
      </c>
      <c r="D46" s="26" t="s">
        <v>594</v>
      </c>
      <c r="E46" s="26" t="s">
        <v>593</v>
      </c>
      <c r="F46" t="s">
        <v>590</v>
      </c>
    </row>
    <row r="47" spans="2:6" ht="24" customHeight="1" x14ac:dyDescent="0.35">
      <c r="B47" s="33" t="s">
        <v>159</v>
      </c>
      <c r="C47" s="2" t="s">
        <v>160</v>
      </c>
      <c r="D47" s="26" t="s">
        <v>591</v>
      </c>
      <c r="E47" s="26" t="s">
        <v>592</v>
      </c>
      <c r="F47" s="26" t="s">
        <v>590</v>
      </c>
    </row>
    <row r="48" spans="2:6" ht="24" customHeight="1" x14ac:dyDescent="0.35">
      <c r="B48" s="31" t="s">
        <v>161</v>
      </c>
      <c r="C48" s="3" t="s">
        <v>162</v>
      </c>
      <c r="D48" s="26" t="s">
        <v>588</v>
      </c>
      <c r="E48" s="26" t="s">
        <v>589</v>
      </c>
      <c r="F48" s="26" t="s">
        <v>590</v>
      </c>
    </row>
    <row r="49" spans="2:6" ht="15.75" customHeight="1" x14ac:dyDescent="0.35">
      <c r="B49" s="120" t="s">
        <v>163</v>
      </c>
      <c r="C49" s="120"/>
      <c r="D49" s="120"/>
      <c r="E49" s="120"/>
      <c r="F49" s="120"/>
    </row>
    <row r="50" spans="2:6" ht="18" customHeight="1" x14ac:dyDescent="0.35">
      <c r="B50" s="4" t="s">
        <v>164</v>
      </c>
      <c r="C50" s="4" t="s">
        <v>165</v>
      </c>
      <c r="D50" s="4" t="s">
        <v>166</v>
      </c>
      <c r="E50" s="4" t="s">
        <v>167</v>
      </c>
      <c r="F50" s="4" t="s">
        <v>168</v>
      </c>
    </row>
    <row r="51" spans="2:6" ht="21.75" customHeight="1" x14ac:dyDescent="0.35">
      <c r="B51" s="31" t="s">
        <v>169</v>
      </c>
      <c r="C51" s="3" t="s">
        <v>170</v>
      </c>
      <c r="D51" s="26" t="s">
        <v>599</v>
      </c>
      <c r="E51" s="26" t="s">
        <v>600</v>
      </c>
      <c r="F51" s="114" t="s">
        <v>677</v>
      </c>
    </row>
    <row r="52" spans="2:6" ht="21.75" customHeight="1" x14ac:dyDescent="0.35">
      <c r="B52" s="33" t="s">
        <v>171</v>
      </c>
      <c r="C52" s="2" t="s">
        <v>172</v>
      </c>
      <c r="D52" s="26" t="s">
        <v>601</v>
      </c>
      <c r="E52" s="26" t="s">
        <v>602</v>
      </c>
      <c r="F52" s="114" t="s">
        <v>676</v>
      </c>
    </row>
    <row r="53" spans="2:6" ht="21.75" customHeight="1" x14ac:dyDescent="0.35">
      <c r="B53" s="31" t="s">
        <v>173</v>
      </c>
      <c r="C53" s="3" t="s">
        <v>174</v>
      </c>
      <c r="D53" s="26" t="s">
        <v>603</v>
      </c>
      <c r="E53" s="26" t="s">
        <v>602</v>
      </c>
      <c r="F53" s="114" t="s">
        <v>676</v>
      </c>
    </row>
    <row r="54" spans="2:6" ht="21.75" customHeight="1" x14ac:dyDescent="0.35">
      <c r="B54" s="33" t="s">
        <v>175</v>
      </c>
      <c r="C54" s="2" t="s">
        <v>176</v>
      </c>
      <c r="D54" s="26" t="s">
        <v>604</v>
      </c>
      <c r="E54" s="26" t="s">
        <v>605</v>
      </c>
      <c r="F54" s="114" t="s">
        <v>676</v>
      </c>
    </row>
    <row r="55" spans="2:6" ht="24" customHeight="1" x14ac:dyDescent="0.35">
      <c r="B55" s="136" t="s">
        <v>606</v>
      </c>
      <c r="C55" s="136"/>
      <c r="D55" s="136"/>
      <c r="E55" s="34"/>
      <c r="F55" s="32" t="s">
        <v>106</v>
      </c>
    </row>
    <row r="56" spans="2:6" ht="9.75" customHeight="1" x14ac:dyDescent="0.35">
      <c r="B56" s="35"/>
      <c r="C56" s="35"/>
      <c r="D56" s="35"/>
      <c r="E56" s="35"/>
      <c r="F56" s="35"/>
    </row>
    <row r="57" spans="2:6" ht="15.75" customHeight="1" x14ac:dyDescent="0.35">
      <c r="B57" s="137" t="s">
        <v>177</v>
      </c>
      <c r="C57" s="137"/>
      <c r="D57" s="137"/>
      <c r="E57" s="137"/>
      <c r="F57" s="137"/>
    </row>
    <row r="58" spans="2:6" ht="19.5" customHeight="1" x14ac:dyDescent="0.35">
      <c r="B58" s="36" t="s">
        <v>178</v>
      </c>
      <c r="C58" s="36" t="s">
        <v>132</v>
      </c>
      <c r="D58" s="36" t="s">
        <v>133</v>
      </c>
      <c r="E58" s="36" t="s">
        <v>99</v>
      </c>
    </row>
    <row r="59" spans="2:6" ht="27.75" customHeight="1" x14ac:dyDescent="0.35">
      <c r="B59" s="37" t="s">
        <v>179</v>
      </c>
      <c r="C59" s="38" t="s">
        <v>180</v>
      </c>
      <c r="D59" s="38" t="s">
        <v>541</v>
      </c>
      <c r="E59" s="38" t="s">
        <v>607</v>
      </c>
    </row>
    <row r="60" spans="2:6" ht="27.75" customHeight="1" x14ac:dyDescent="0.35">
      <c r="B60" s="39" t="s">
        <v>181</v>
      </c>
      <c r="C60" s="40" t="s">
        <v>182</v>
      </c>
      <c r="D60" s="40" t="s">
        <v>550</v>
      </c>
      <c r="E60" s="40" t="s">
        <v>608</v>
      </c>
    </row>
    <row r="61" spans="2:6" ht="27.75" customHeight="1" x14ac:dyDescent="0.35">
      <c r="B61" s="37" t="s">
        <v>183</v>
      </c>
      <c r="C61" s="38" t="s">
        <v>184</v>
      </c>
      <c r="D61" t="s">
        <v>550</v>
      </c>
      <c r="E61" s="38" t="s">
        <v>609</v>
      </c>
    </row>
    <row r="62" spans="2:6" ht="27.75" customHeight="1" x14ac:dyDescent="0.35">
      <c r="B62" s="39" t="s">
        <v>185</v>
      </c>
      <c r="C62" s="40" t="s">
        <v>186</v>
      </c>
      <c r="D62" t="s">
        <v>541</v>
      </c>
      <c r="E62" s="40" t="s">
        <v>610</v>
      </c>
    </row>
    <row r="63" spans="2:6" ht="27.75" customHeight="1" x14ac:dyDescent="0.35">
      <c r="B63" s="37" t="s">
        <v>187</v>
      </c>
      <c r="C63" s="38" t="s">
        <v>188</v>
      </c>
      <c r="D63" t="s">
        <v>550</v>
      </c>
      <c r="E63" s="38" t="s">
        <v>611</v>
      </c>
    </row>
    <row r="64" spans="2:6" ht="24" customHeight="1" x14ac:dyDescent="0.35">
      <c r="B64" s="138" t="s">
        <v>612</v>
      </c>
      <c r="C64" s="138"/>
      <c r="D64" s="138"/>
      <c r="E64" s="41"/>
    </row>
    <row r="65" spans="2:6" ht="9.75" customHeight="1" x14ac:dyDescent="0.35">
      <c r="B65" s="35"/>
      <c r="C65" s="35"/>
      <c r="D65" s="35"/>
      <c r="E65" s="35"/>
      <c r="F65" s="35"/>
    </row>
    <row r="66" spans="2:6" ht="15.75" customHeight="1" x14ac:dyDescent="0.35">
      <c r="B66" s="137" t="s">
        <v>189</v>
      </c>
      <c r="C66" s="137"/>
      <c r="D66" s="137"/>
      <c r="E66" s="137"/>
      <c r="F66" s="137"/>
    </row>
    <row r="67" spans="2:6" ht="19.5" customHeight="1" x14ac:dyDescent="0.35">
      <c r="B67" s="36" t="s">
        <v>178</v>
      </c>
      <c r="C67" s="36" t="s">
        <v>132</v>
      </c>
      <c r="D67" s="36" t="s">
        <v>133</v>
      </c>
      <c r="E67" s="36" t="s">
        <v>99</v>
      </c>
    </row>
    <row r="68" spans="2:6" ht="27.75" customHeight="1" x14ac:dyDescent="0.35">
      <c r="B68" s="37" t="s">
        <v>190</v>
      </c>
      <c r="C68" s="38" t="s">
        <v>191</v>
      </c>
      <c r="D68" s="38" t="s">
        <v>541</v>
      </c>
      <c r="E68" t="s">
        <v>613</v>
      </c>
    </row>
    <row r="69" spans="2:6" ht="27.75" customHeight="1" x14ac:dyDescent="0.35">
      <c r="B69" s="39" t="s">
        <v>192</v>
      </c>
      <c r="C69" s="40" t="s">
        <v>193</v>
      </c>
      <c r="D69" s="40" t="s">
        <v>541</v>
      </c>
      <c r="E69" t="s">
        <v>614</v>
      </c>
    </row>
    <row r="70" spans="2:6" ht="27.75" customHeight="1" x14ac:dyDescent="0.35">
      <c r="B70" s="37" t="s">
        <v>194</v>
      </c>
      <c r="C70" s="38" t="s">
        <v>195</v>
      </c>
      <c r="D70" s="38" t="s">
        <v>541</v>
      </c>
      <c r="E70" t="s">
        <v>615</v>
      </c>
    </row>
    <row r="71" spans="2:6" ht="27.75" customHeight="1" x14ac:dyDescent="0.35">
      <c r="B71" s="39" t="s">
        <v>196</v>
      </c>
      <c r="C71" s="40" t="s">
        <v>197</v>
      </c>
      <c r="D71" s="40" t="s">
        <v>541</v>
      </c>
      <c r="E71" t="s">
        <v>616</v>
      </c>
    </row>
    <row r="72" spans="2:6" ht="27.75" customHeight="1" x14ac:dyDescent="0.35">
      <c r="B72" s="37" t="s">
        <v>198</v>
      </c>
      <c r="C72" s="38" t="s">
        <v>199</v>
      </c>
      <c r="D72" s="38" t="s">
        <v>541</v>
      </c>
      <c r="E72" t="s">
        <v>617</v>
      </c>
    </row>
    <row r="73" spans="2:6" ht="27.75" customHeight="1" x14ac:dyDescent="0.35">
      <c r="B73" s="39" t="s">
        <v>200</v>
      </c>
      <c r="C73" s="40" t="s">
        <v>201</v>
      </c>
      <c r="D73" s="40" t="s">
        <v>550</v>
      </c>
      <c r="E73" t="s">
        <v>618</v>
      </c>
    </row>
    <row r="74" spans="2:6" ht="24" customHeight="1" x14ac:dyDescent="0.35">
      <c r="B74" s="138" t="s">
        <v>619</v>
      </c>
      <c r="C74" s="138"/>
      <c r="D74" s="138"/>
      <c r="E74" s="41" t="s">
        <v>106</v>
      </c>
    </row>
    <row r="75" spans="2:6" ht="9.75" customHeight="1" x14ac:dyDescent="0.35">
      <c r="B75" s="35"/>
      <c r="C75" s="35"/>
      <c r="D75" s="35"/>
      <c r="E75" s="35"/>
      <c r="F75" s="35"/>
    </row>
    <row r="76" spans="2:6" ht="15.75" customHeight="1" x14ac:dyDescent="0.35">
      <c r="B76" s="137" t="s">
        <v>202</v>
      </c>
      <c r="C76" s="137"/>
      <c r="D76" s="137"/>
      <c r="E76" s="137"/>
      <c r="F76" s="137"/>
    </row>
    <row r="77" spans="2:6" ht="19.5" customHeight="1" x14ac:dyDescent="0.35">
      <c r="B77" s="36" t="s">
        <v>178</v>
      </c>
      <c r="C77" s="36" t="s">
        <v>132</v>
      </c>
      <c r="D77" s="36" t="s">
        <v>133</v>
      </c>
      <c r="E77" s="36" t="s">
        <v>99</v>
      </c>
    </row>
    <row r="78" spans="2:6" ht="27.75" customHeight="1" x14ac:dyDescent="0.35">
      <c r="B78" s="37" t="s">
        <v>203</v>
      </c>
      <c r="C78" s="38" t="s">
        <v>204</v>
      </c>
      <c r="D78" s="38" t="s">
        <v>620</v>
      </c>
      <c r="E78" t="s">
        <v>621</v>
      </c>
    </row>
    <row r="79" spans="2:6" ht="27.75" customHeight="1" x14ac:dyDescent="0.35">
      <c r="B79" s="39" t="s">
        <v>205</v>
      </c>
      <c r="C79" s="40" t="s">
        <v>206</v>
      </c>
      <c r="D79" t="s">
        <v>622</v>
      </c>
      <c r="E79" t="s">
        <v>624</v>
      </c>
    </row>
    <row r="80" spans="2:6" ht="27.75" customHeight="1" x14ac:dyDescent="0.35">
      <c r="B80" s="37" t="s">
        <v>207</v>
      </c>
      <c r="C80" s="38" t="s">
        <v>208</v>
      </c>
      <c r="D80" t="s">
        <v>623</v>
      </c>
      <c r="E80" t="s">
        <v>625</v>
      </c>
    </row>
    <row r="81" spans="2:6" ht="27.75" customHeight="1" x14ac:dyDescent="0.35">
      <c r="B81" s="39" t="s">
        <v>209</v>
      </c>
      <c r="C81" s="40" t="s">
        <v>210</v>
      </c>
      <c r="D81" s="40" t="s">
        <v>627</v>
      </c>
      <c r="E81" t="s">
        <v>626</v>
      </c>
    </row>
    <row r="82" spans="2:6" ht="27.75" customHeight="1" x14ac:dyDescent="0.35">
      <c r="B82" s="37" t="s">
        <v>211</v>
      </c>
      <c r="C82" s="38" t="s">
        <v>212</v>
      </c>
      <c r="D82" s="38" t="s">
        <v>629</v>
      </c>
      <c r="E82" t="s">
        <v>628</v>
      </c>
    </row>
    <row r="83" spans="2:6" ht="24" customHeight="1" x14ac:dyDescent="0.35">
      <c r="B83" s="138" t="s">
        <v>630</v>
      </c>
      <c r="C83" s="138"/>
      <c r="D83" s="138"/>
      <c r="E83" s="41" t="s">
        <v>106</v>
      </c>
    </row>
    <row r="84" spans="2:6" ht="9.75" customHeight="1" x14ac:dyDescent="0.35">
      <c r="B84" s="35"/>
      <c r="C84" s="35"/>
      <c r="D84" s="35"/>
      <c r="E84" s="35"/>
      <c r="F84" s="35"/>
    </row>
    <row r="85" spans="2:6" ht="15.75" customHeight="1" x14ac:dyDescent="0.35">
      <c r="B85" s="137" t="s">
        <v>213</v>
      </c>
      <c r="C85" s="137"/>
      <c r="D85" s="137"/>
      <c r="E85" s="137"/>
      <c r="F85" s="137"/>
    </row>
    <row r="86" spans="2:6" ht="19.5" customHeight="1" x14ac:dyDescent="0.35">
      <c r="B86" s="36" t="s">
        <v>178</v>
      </c>
      <c r="C86" s="36" t="s">
        <v>132</v>
      </c>
      <c r="D86" s="36" t="s">
        <v>133</v>
      </c>
      <c r="E86" s="36" t="s">
        <v>99</v>
      </c>
    </row>
    <row r="87" spans="2:6" ht="27.75" customHeight="1" x14ac:dyDescent="0.35">
      <c r="B87" s="37" t="s">
        <v>214</v>
      </c>
      <c r="C87" s="38" t="s">
        <v>215</v>
      </c>
      <c r="D87" s="38" t="s">
        <v>632</v>
      </c>
      <c r="E87" t="s">
        <v>631</v>
      </c>
    </row>
    <row r="88" spans="2:6" ht="27.75" customHeight="1" x14ac:dyDescent="0.35">
      <c r="B88" s="39" t="s">
        <v>216</v>
      </c>
      <c r="C88" s="40" t="s">
        <v>217</v>
      </c>
      <c r="D88" s="40" t="s">
        <v>634</v>
      </c>
      <c r="E88" t="s">
        <v>633</v>
      </c>
    </row>
    <row r="89" spans="2:6" ht="27.75" customHeight="1" thickBot="1" x14ac:dyDescent="0.4">
      <c r="B89" s="37" t="s">
        <v>218</v>
      </c>
      <c r="C89" s="38" t="s">
        <v>219</v>
      </c>
      <c r="D89" s="38" t="s">
        <v>541</v>
      </c>
      <c r="E89" t="s">
        <v>635</v>
      </c>
    </row>
    <row r="90" spans="2:6" ht="27.75" customHeight="1" thickBot="1" x14ac:dyDescent="0.4">
      <c r="B90" s="39" t="s">
        <v>220</v>
      </c>
      <c r="C90" s="40" t="s">
        <v>221</v>
      </c>
      <c r="D90" s="113" t="s">
        <v>541</v>
      </c>
      <c r="E90" s="112" t="s">
        <v>636</v>
      </c>
    </row>
    <row r="91" spans="2:6" ht="24" customHeight="1" x14ac:dyDescent="0.35">
      <c r="B91" s="139" t="s">
        <v>637</v>
      </c>
      <c r="C91" s="138"/>
      <c r="D91" s="138"/>
      <c r="E91" s="41" t="s">
        <v>106</v>
      </c>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91"/>
  <sheetViews>
    <sheetView showGridLines="0" topLeftCell="A80" zoomScale="59" zoomScaleNormal="53" workbookViewId="0">
      <selection activeCell="D97" sqref="D97"/>
    </sheetView>
  </sheetViews>
  <sheetFormatPr defaultColWidth="8.6328125" defaultRowHeight="14.5" x14ac:dyDescent="0.35"/>
  <cols>
    <col min="1" max="1" width="3" customWidth="1"/>
    <col min="2" max="2" width="22" customWidth="1"/>
    <col min="3" max="3" width="54.7265625" customWidth="1"/>
    <col min="4" max="4" width="68.36328125" customWidth="1"/>
    <col min="5" max="5" width="126.6328125" customWidth="1"/>
    <col min="6" max="6" width="57.1796875" customWidth="1"/>
    <col min="7" max="7" width="5" customWidth="1"/>
  </cols>
  <sheetData>
    <row r="1" spans="2:6" ht="31.5" customHeight="1" x14ac:dyDescent="0.35">
      <c r="B1" s="118" t="s">
        <v>222</v>
      </c>
      <c r="C1" s="118"/>
      <c r="D1" s="118"/>
      <c r="E1" s="118"/>
      <c r="F1" s="118"/>
    </row>
    <row r="2" spans="2:6" ht="18" customHeight="1" x14ac:dyDescent="0.35">
      <c r="B2" s="131" t="s">
        <v>92</v>
      </c>
      <c r="C2" s="131"/>
      <c r="D2" s="131"/>
      <c r="E2" s="131"/>
      <c r="F2" s="131"/>
    </row>
    <row r="3" spans="2:6" ht="7.5" customHeight="1" x14ac:dyDescent="0.35"/>
    <row r="4" spans="2:6" ht="15.75" customHeight="1" x14ac:dyDescent="0.35">
      <c r="B4" s="161" t="s">
        <v>223</v>
      </c>
      <c r="C4" s="161"/>
      <c r="D4" s="161"/>
      <c r="E4" s="161"/>
      <c r="F4" s="161"/>
    </row>
    <row r="5" spans="2:6" ht="18" customHeight="1" x14ac:dyDescent="0.35">
      <c r="B5" s="162" t="s">
        <v>43</v>
      </c>
      <c r="C5" s="163" t="s">
        <v>543</v>
      </c>
      <c r="D5" s="163"/>
      <c r="E5" s="163"/>
      <c r="F5" s="163"/>
    </row>
    <row r="6" spans="2:6" ht="18" customHeight="1" x14ac:dyDescent="0.35">
      <c r="B6" s="162" t="s">
        <v>47</v>
      </c>
      <c r="C6" s="163" t="s">
        <v>549</v>
      </c>
      <c r="D6" s="163"/>
      <c r="E6" s="163"/>
      <c r="F6" s="163"/>
    </row>
    <row r="7" spans="2:6" ht="18" customHeight="1" x14ac:dyDescent="0.35">
      <c r="B7" s="162" t="s">
        <v>7</v>
      </c>
      <c r="C7" s="163" t="s">
        <v>536</v>
      </c>
      <c r="D7" s="163"/>
      <c r="E7" s="163"/>
      <c r="F7" s="163"/>
    </row>
    <row r="8" spans="2:6" ht="18" customHeight="1" x14ac:dyDescent="0.35">
      <c r="B8" s="162" t="s">
        <v>8</v>
      </c>
      <c r="C8" s="163">
        <v>11</v>
      </c>
      <c r="D8" s="163"/>
      <c r="E8" s="163"/>
      <c r="F8" s="163"/>
    </row>
    <row r="9" spans="2:6" ht="18" customHeight="1" x14ac:dyDescent="0.35">
      <c r="B9" s="162" t="s">
        <v>94</v>
      </c>
      <c r="C9" s="163" t="s">
        <v>535</v>
      </c>
      <c r="D9" s="163"/>
      <c r="E9" s="163"/>
      <c r="F9" s="163"/>
    </row>
    <row r="10" spans="2:6" ht="18" customHeight="1" x14ac:dyDescent="0.35">
      <c r="B10" s="162" t="s">
        <v>95</v>
      </c>
      <c r="C10" s="164">
        <v>0.14583333333333334</v>
      </c>
      <c r="D10" s="163"/>
      <c r="E10" s="163"/>
      <c r="F10" s="163"/>
    </row>
    <row r="11" spans="2:6" ht="9.75" customHeight="1" x14ac:dyDescent="0.35"/>
    <row r="12" spans="2:6" ht="15.75" customHeight="1" x14ac:dyDescent="0.35">
      <c r="B12" s="165" t="s">
        <v>224</v>
      </c>
      <c r="C12" s="165"/>
      <c r="D12" s="165"/>
      <c r="E12" s="165"/>
      <c r="F12" s="165"/>
    </row>
    <row r="13" spans="2:6" ht="19.5" customHeight="1" x14ac:dyDescent="0.35">
      <c r="B13" s="166" t="s">
        <v>96</v>
      </c>
      <c r="C13" s="166" t="s">
        <v>97</v>
      </c>
      <c r="D13" s="166" t="s">
        <v>98</v>
      </c>
      <c r="E13" s="166" t="s">
        <v>99</v>
      </c>
      <c r="F13" s="166" t="s">
        <v>100</v>
      </c>
    </row>
    <row r="14" spans="2:6" ht="27.75" customHeight="1" x14ac:dyDescent="0.35">
      <c r="B14" s="167" t="s">
        <v>101</v>
      </c>
      <c r="C14" s="167" t="s">
        <v>641</v>
      </c>
      <c r="D14" s="168" t="s">
        <v>580</v>
      </c>
      <c r="E14" s="168" t="s">
        <v>642</v>
      </c>
      <c r="F14" s="168"/>
    </row>
    <row r="15" spans="2:6" ht="27.75" customHeight="1" x14ac:dyDescent="0.35">
      <c r="B15" s="169" t="s">
        <v>102</v>
      </c>
      <c r="C15" s="169" t="s">
        <v>644</v>
      </c>
      <c r="D15" s="168" t="s">
        <v>541</v>
      </c>
      <c r="E15" s="168" t="s">
        <v>645</v>
      </c>
      <c r="F15" s="168"/>
    </row>
    <row r="16" spans="2:6" ht="27.75" customHeight="1" x14ac:dyDescent="0.35">
      <c r="B16" s="167" t="s">
        <v>103</v>
      </c>
      <c r="C16" s="167" t="s">
        <v>638</v>
      </c>
      <c r="D16" s="168" t="s">
        <v>541</v>
      </c>
      <c r="E16" s="170" t="s">
        <v>646</v>
      </c>
      <c r="F16" s="168"/>
    </row>
    <row r="17" spans="2:6" ht="27.75" customHeight="1" x14ac:dyDescent="0.35">
      <c r="B17" s="169" t="s">
        <v>104</v>
      </c>
      <c r="C17" s="169" t="s">
        <v>639</v>
      </c>
      <c r="D17" s="168" t="s">
        <v>541</v>
      </c>
      <c r="E17" s="170" t="s">
        <v>643</v>
      </c>
      <c r="F17" s="168"/>
    </row>
    <row r="18" spans="2:6" ht="27.75" customHeight="1" x14ac:dyDescent="0.35">
      <c r="B18" s="167" t="s">
        <v>105</v>
      </c>
      <c r="C18" s="167" t="s">
        <v>640</v>
      </c>
      <c r="D18" s="168" t="s">
        <v>648</v>
      </c>
      <c r="E18" s="170" t="s">
        <v>647</v>
      </c>
      <c r="F18" s="168"/>
    </row>
    <row r="19" spans="2:6" ht="24" customHeight="1" x14ac:dyDescent="0.35">
      <c r="B19" s="171"/>
      <c r="C19" s="171"/>
      <c r="D19" s="171"/>
      <c r="E19" s="172"/>
      <c r="F19" s="168" t="s">
        <v>106</v>
      </c>
    </row>
    <row r="20" spans="2:6" ht="9.75" customHeight="1" x14ac:dyDescent="0.35"/>
    <row r="21" spans="2:6" ht="15.75" customHeight="1" x14ac:dyDescent="0.35">
      <c r="B21" s="152" t="s">
        <v>225</v>
      </c>
      <c r="C21" s="152"/>
      <c r="D21" s="152"/>
      <c r="E21" s="152"/>
      <c r="F21" s="152"/>
    </row>
    <row r="22" spans="2:6" ht="19.5" customHeight="1" x14ac:dyDescent="0.35">
      <c r="B22" s="104" t="s">
        <v>108</v>
      </c>
      <c r="C22" s="104" t="s">
        <v>109</v>
      </c>
      <c r="D22" s="104" t="s">
        <v>110</v>
      </c>
      <c r="E22" s="104" t="s">
        <v>111</v>
      </c>
      <c r="F22" s="104" t="s">
        <v>99</v>
      </c>
    </row>
    <row r="23" spans="2:6" ht="24" customHeight="1" x14ac:dyDescent="0.35">
      <c r="B23" s="105" t="s">
        <v>112</v>
      </c>
      <c r="C23" s="105" t="s">
        <v>113</v>
      </c>
      <c r="D23" s="157" t="s">
        <v>649</v>
      </c>
      <c r="E23" s="105" t="s">
        <v>114</v>
      </c>
      <c r="F23" s="157" t="s">
        <v>650</v>
      </c>
    </row>
    <row r="24" spans="2:6" ht="24" customHeight="1" x14ac:dyDescent="0.35">
      <c r="B24" s="108" t="s">
        <v>115</v>
      </c>
      <c r="C24" s="108" t="s">
        <v>116</v>
      </c>
      <c r="D24" s="159" t="s">
        <v>652</v>
      </c>
      <c r="E24" s="108" t="s">
        <v>117</v>
      </c>
      <c r="F24" s="157" t="s">
        <v>651</v>
      </c>
    </row>
    <row r="25" spans="2:6" ht="24" customHeight="1" x14ac:dyDescent="0.35">
      <c r="B25" s="105" t="s">
        <v>118</v>
      </c>
      <c r="C25" s="105" t="s">
        <v>119</v>
      </c>
      <c r="D25" s="159" t="s">
        <v>654</v>
      </c>
      <c r="E25" s="105" t="s">
        <v>120</v>
      </c>
      <c r="F25" s="157" t="s">
        <v>653</v>
      </c>
    </row>
    <row r="26" spans="2:6" ht="24" customHeight="1" x14ac:dyDescent="0.35">
      <c r="B26" s="108" t="s">
        <v>121</v>
      </c>
      <c r="C26" s="108" t="s">
        <v>122</v>
      </c>
      <c r="D26" s="173">
        <v>0.02</v>
      </c>
      <c r="E26" s="108" t="s">
        <v>123</v>
      </c>
      <c r="F26" s="157" t="s">
        <v>655</v>
      </c>
    </row>
    <row r="27" spans="2:6" ht="24" customHeight="1" x14ac:dyDescent="0.35">
      <c r="B27" s="105" t="s">
        <v>124</v>
      </c>
      <c r="C27" s="105" t="s">
        <v>125</v>
      </c>
      <c r="D27" s="159" t="s">
        <v>657</v>
      </c>
      <c r="E27" s="105" t="s">
        <v>126</v>
      </c>
      <c r="F27" s="157" t="s">
        <v>656</v>
      </c>
    </row>
    <row r="28" spans="2:6" ht="24" customHeight="1" x14ac:dyDescent="0.35">
      <c r="B28" s="108" t="s">
        <v>127</v>
      </c>
      <c r="C28" s="108" t="s">
        <v>128</v>
      </c>
      <c r="D28" s="157" t="s">
        <v>658</v>
      </c>
      <c r="E28" s="108" t="s">
        <v>129</v>
      </c>
      <c r="F28" s="157" t="s">
        <v>659</v>
      </c>
    </row>
    <row r="29" spans="2:6" ht="24" customHeight="1" x14ac:dyDescent="0.35">
      <c r="B29" s="135" t="s">
        <v>660</v>
      </c>
      <c r="C29" s="135"/>
      <c r="D29" s="135"/>
      <c r="E29" s="110"/>
      <c r="F29" s="154" t="s">
        <v>106</v>
      </c>
    </row>
    <row r="30" spans="2:6" ht="9.75" customHeight="1" x14ac:dyDescent="0.35"/>
    <row r="31" spans="2:6" ht="15.75" customHeight="1" x14ac:dyDescent="0.35">
      <c r="B31" s="152" t="s">
        <v>226</v>
      </c>
      <c r="C31" s="152"/>
      <c r="D31" s="152"/>
      <c r="E31" s="152"/>
      <c r="F31" s="152"/>
    </row>
    <row r="32" spans="2:6" ht="19.5" customHeight="1" x14ac:dyDescent="0.35">
      <c r="B32" s="104" t="s">
        <v>131</v>
      </c>
      <c r="C32" s="104" t="s">
        <v>132</v>
      </c>
      <c r="D32" s="104" t="s">
        <v>133</v>
      </c>
      <c r="E32" s="104" t="s">
        <v>99</v>
      </c>
      <c r="F32" s="157"/>
    </row>
    <row r="33" spans="2:6" ht="24" customHeight="1" x14ac:dyDescent="0.35">
      <c r="B33" s="105" t="s">
        <v>134</v>
      </c>
      <c r="C33" s="105" t="s">
        <v>135</v>
      </c>
      <c r="D33" s="159" t="s">
        <v>541</v>
      </c>
      <c r="E33" s="157" t="s">
        <v>661</v>
      </c>
      <c r="F33" s="157"/>
    </row>
    <row r="34" spans="2:6" ht="24" customHeight="1" x14ac:dyDescent="0.35">
      <c r="B34" s="108" t="s">
        <v>136</v>
      </c>
      <c r="C34" s="108" t="s">
        <v>137</v>
      </c>
      <c r="D34" s="159" t="s">
        <v>541</v>
      </c>
      <c r="E34" s="157" t="s">
        <v>662</v>
      </c>
      <c r="F34" s="157"/>
    </row>
    <row r="35" spans="2:6" ht="24" customHeight="1" x14ac:dyDescent="0.35">
      <c r="B35" s="105" t="s">
        <v>138</v>
      </c>
      <c r="C35" s="105" t="s">
        <v>139</v>
      </c>
      <c r="D35" s="159" t="s">
        <v>541</v>
      </c>
      <c r="E35" s="157" t="s">
        <v>663</v>
      </c>
      <c r="F35" s="157"/>
    </row>
    <row r="36" spans="2:6" ht="24" customHeight="1" x14ac:dyDescent="0.35">
      <c r="B36" s="108" t="s">
        <v>140</v>
      </c>
      <c r="C36" s="108" t="s">
        <v>141</v>
      </c>
      <c r="D36" s="159" t="s">
        <v>541</v>
      </c>
      <c r="E36" s="157" t="s">
        <v>664</v>
      </c>
      <c r="F36" s="157"/>
    </row>
    <row r="37" spans="2:6" ht="24" customHeight="1" x14ac:dyDescent="0.35">
      <c r="B37" s="105" t="s">
        <v>142</v>
      </c>
      <c r="C37" s="105" t="s">
        <v>143</v>
      </c>
      <c r="D37" s="159" t="s">
        <v>541</v>
      </c>
      <c r="E37" s="157" t="s">
        <v>665</v>
      </c>
      <c r="F37" s="157"/>
    </row>
    <row r="38" spans="2:6" ht="24" customHeight="1" x14ac:dyDescent="0.35">
      <c r="B38" s="108" t="s">
        <v>144</v>
      </c>
      <c r="C38" s="108" t="s">
        <v>145</v>
      </c>
      <c r="D38" s="159" t="s">
        <v>541</v>
      </c>
      <c r="E38" s="157" t="s">
        <v>666</v>
      </c>
      <c r="F38" s="157"/>
    </row>
    <row r="39" spans="2:6" ht="24" customHeight="1" x14ac:dyDescent="0.35">
      <c r="B39" s="105" t="s">
        <v>146</v>
      </c>
      <c r="C39" s="105" t="s">
        <v>147</v>
      </c>
      <c r="D39" s="159" t="s">
        <v>541</v>
      </c>
      <c r="E39" s="157" t="s">
        <v>667</v>
      </c>
      <c r="F39" s="157"/>
    </row>
    <row r="40" spans="2:6" ht="24" customHeight="1" x14ac:dyDescent="0.35">
      <c r="B40" s="135" t="s">
        <v>668</v>
      </c>
      <c r="C40" s="135"/>
      <c r="D40" s="135"/>
      <c r="E40" s="154" t="s">
        <v>106</v>
      </c>
      <c r="F40" s="157"/>
    </row>
    <row r="41" spans="2:6" ht="9.75" customHeight="1" x14ac:dyDescent="0.35"/>
    <row r="42" spans="2:6" ht="15.75" customHeight="1" x14ac:dyDescent="0.35">
      <c r="B42" s="175" t="s">
        <v>227</v>
      </c>
      <c r="C42" s="175"/>
      <c r="D42" s="175"/>
      <c r="E42" s="175"/>
      <c r="F42" s="175"/>
    </row>
    <row r="43" spans="2:6" ht="19.5" customHeight="1" x14ac:dyDescent="0.35">
      <c r="B43" s="104" t="s">
        <v>54</v>
      </c>
      <c r="C43" s="104" t="s">
        <v>149</v>
      </c>
      <c r="D43" s="104" t="s">
        <v>150</v>
      </c>
      <c r="E43" s="104" t="s">
        <v>151</v>
      </c>
      <c r="F43" s="104" t="s">
        <v>152</v>
      </c>
    </row>
    <row r="44" spans="2:6" ht="24" customHeight="1" x14ac:dyDescent="0.35">
      <c r="B44" s="153" t="s">
        <v>153</v>
      </c>
      <c r="C44" s="106" t="s">
        <v>154</v>
      </c>
      <c r="D44" s="176" t="s">
        <v>591</v>
      </c>
      <c r="E44" s="176">
        <v>0</v>
      </c>
      <c r="F44" s="176" t="s">
        <v>590</v>
      </c>
    </row>
    <row r="45" spans="2:6" ht="24" customHeight="1" x14ac:dyDescent="0.35">
      <c r="B45" s="156" t="s">
        <v>155</v>
      </c>
      <c r="C45" s="109" t="s">
        <v>156</v>
      </c>
      <c r="D45" s="176" t="s">
        <v>587</v>
      </c>
      <c r="E45" s="176">
        <v>0</v>
      </c>
      <c r="F45" s="176" t="s">
        <v>590</v>
      </c>
    </row>
    <row r="46" spans="2:6" ht="24" customHeight="1" x14ac:dyDescent="0.35">
      <c r="B46" s="153" t="s">
        <v>157</v>
      </c>
      <c r="C46" s="106" t="s">
        <v>158</v>
      </c>
      <c r="D46" s="176" t="s">
        <v>669</v>
      </c>
      <c r="E46" s="176">
        <v>1</v>
      </c>
      <c r="F46" s="176" t="s">
        <v>590</v>
      </c>
    </row>
    <row r="47" spans="2:6" ht="24" customHeight="1" x14ac:dyDescent="0.35">
      <c r="B47" s="156" t="s">
        <v>159</v>
      </c>
      <c r="C47" s="109" t="s">
        <v>673</v>
      </c>
      <c r="D47" s="176" t="s">
        <v>670</v>
      </c>
      <c r="E47" s="176">
        <v>0</v>
      </c>
      <c r="F47" s="176" t="s">
        <v>590</v>
      </c>
    </row>
    <row r="48" spans="2:6" ht="24" customHeight="1" x14ac:dyDescent="0.35">
      <c r="B48" s="153" t="s">
        <v>161</v>
      </c>
      <c r="C48" s="106" t="s">
        <v>672</v>
      </c>
      <c r="D48" s="176" t="s">
        <v>671</v>
      </c>
      <c r="E48" s="176">
        <v>0</v>
      </c>
      <c r="F48" s="176" t="s">
        <v>590</v>
      </c>
    </row>
    <row r="49" spans="2:6" ht="15.75" customHeight="1" x14ac:dyDescent="0.35">
      <c r="B49" s="175" t="s">
        <v>163</v>
      </c>
      <c r="C49" s="175"/>
      <c r="D49" s="175"/>
      <c r="E49" s="175"/>
      <c r="F49" s="175"/>
    </row>
    <row r="50" spans="2:6" ht="18" customHeight="1" x14ac:dyDescent="0.35">
      <c r="B50" s="174" t="s">
        <v>164</v>
      </c>
      <c r="C50" s="174" t="s">
        <v>165</v>
      </c>
      <c r="D50" s="174" t="s">
        <v>166</v>
      </c>
      <c r="E50" s="174" t="s">
        <v>167</v>
      </c>
      <c r="F50" s="174" t="s">
        <v>168</v>
      </c>
    </row>
    <row r="51" spans="2:6" ht="21.75" customHeight="1" x14ac:dyDescent="0.35">
      <c r="B51" s="153" t="s">
        <v>169</v>
      </c>
      <c r="C51" s="106" t="s">
        <v>170</v>
      </c>
      <c r="D51" s="176" t="s">
        <v>674</v>
      </c>
      <c r="E51" s="107" t="s">
        <v>675</v>
      </c>
      <c r="F51" s="177" t="s">
        <v>676</v>
      </c>
    </row>
    <row r="52" spans="2:6" ht="21.75" customHeight="1" x14ac:dyDescent="0.35">
      <c r="B52" s="156" t="s">
        <v>171</v>
      </c>
      <c r="C52" s="109" t="s">
        <v>172</v>
      </c>
      <c r="D52" s="107" t="s">
        <v>678</v>
      </c>
      <c r="E52" s="176" t="s">
        <v>679</v>
      </c>
      <c r="F52" s="178" t="s">
        <v>680</v>
      </c>
    </row>
    <row r="53" spans="2:6" ht="21.75" customHeight="1" x14ac:dyDescent="0.35">
      <c r="B53" s="153" t="s">
        <v>173</v>
      </c>
      <c r="C53" s="106" t="s">
        <v>174</v>
      </c>
      <c r="D53" s="107" t="s">
        <v>681</v>
      </c>
      <c r="E53" s="176" t="s">
        <v>682</v>
      </c>
      <c r="F53" s="178" t="s">
        <v>676</v>
      </c>
    </row>
    <row r="54" spans="2:6" ht="21.75" customHeight="1" x14ac:dyDescent="0.35">
      <c r="B54" s="156" t="s">
        <v>175</v>
      </c>
      <c r="C54" s="109" t="s">
        <v>176</v>
      </c>
      <c r="D54" s="107" t="s">
        <v>683</v>
      </c>
      <c r="E54" s="176" t="s">
        <v>682</v>
      </c>
      <c r="F54" s="179">
        <v>46147</v>
      </c>
    </row>
    <row r="55" spans="2:6" ht="24" customHeight="1" x14ac:dyDescent="0.35">
      <c r="B55" s="135" t="s">
        <v>684</v>
      </c>
      <c r="C55" s="135"/>
      <c r="D55" s="135"/>
      <c r="E55" s="180"/>
      <c r="F55" s="111" t="s">
        <v>106</v>
      </c>
    </row>
    <row r="56" spans="2:6" ht="9.75" customHeight="1" x14ac:dyDescent="0.35">
      <c r="B56" s="35"/>
      <c r="C56" s="35"/>
      <c r="D56" s="35"/>
      <c r="E56" s="35"/>
      <c r="F56" s="35"/>
    </row>
    <row r="57" spans="2:6" ht="15.75" customHeight="1" x14ac:dyDescent="0.35">
      <c r="B57" s="181" t="s">
        <v>228</v>
      </c>
      <c r="C57" s="181"/>
      <c r="D57" s="181"/>
      <c r="E57" s="181"/>
      <c r="F57" s="181"/>
    </row>
    <row r="58" spans="2:6" ht="19.5" customHeight="1" x14ac:dyDescent="0.35">
      <c r="B58" s="182" t="s">
        <v>178</v>
      </c>
      <c r="C58" s="182" t="s">
        <v>132</v>
      </c>
      <c r="D58" s="182" t="s">
        <v>133</v>
      </c>
      <c r="E58" s="182" t="s">
        <v>99</v>
      </c>
      <c r="F58" s="157"/>
    </row>
    <row r="59" spans="2:6" ht="27.75" customHeight="1" x14ac:dyDescent="0.35">
      <c r="B59" s="183" t="s">
        <v>179</v>
      </c>
      <c r="C59" s="183" t="s">
        <v>180</v>
      </c>
      <c r="D59" s="183" t="s">
        <v>541</v>
      </c>
      <c r="E59" s="157" t="s">
        <v>685</v>
      </c>
      <c r="F59" s="157"/>
    </row>
    <row r="60" spans="2:6" ht="27.75" customHeight="1" x14ac:dyDescent="0.35">
      <c r="B60" s="184" t="s">
        <v>181</v>
      </c>
      <c r="C60" s="184" t="s">
        <v>182</v>
      </c>
      <c r="D60" s="184" t="s">
        <v>550</v>
      </c>
      <c r="E60" s="157" t="s">
        <v>686</v>
      </c>
      <c r="F60" s="157"/>
    </row>
    <row r="61" spans="2:6" ht="27.75" customHeight="1" x14ac:dyDescent="0.35">
      <c r="B61" s="183" t="s">
        <v>183</v>
      </c>
      <c r="C61" s="183" t="s">
        <v>184</v>
      </c>
      <c r="D61" s="183" t="s">
        <v>541</v>
      </c>
      <c r="E61" s="157" t="s">
        <v>687</v>
      </c>
      <c r="F61" s="157"/>
    </row>
    <row r="62" spans="2:6" ht="27.75" customHeight="1" x14ac:dyDescent="0.35">
      <c r="B62" s="184" t="s">
        <v>185</v>
      </c>
      <c r="C62" s="184" t="s">
        <v>186</v>
      </c>
      <c r="D62" s="184" t="s">
        <v>541</v>
      </c>
      <c r="E62" s="157" t="s">
        <v>688</v>
      </c>
      <c r="F62" s="157"/>
    </row>
    <row r="63" spans="2:6" ht="27.75" customHeight="1" x14ac:dyDescent="0.35">
      <c r="B63" s="183" t="s">
        <v>187</v>
      </c>
      <c r="C63" s="183" t="s">
        <v>188</v>
      </c>
      <c r="D63" s="183" t="s">
        <v>541</v>
      </c>
      <c r="E63" s="157" t="s">
        <v>689</v>
      </c>
      <c r="F63" s="157"/>
    </row>
    <row r="64" spans="2:6" ht="24" customHeight="1" x14ac:dyDescent="0.35">
      <c r="B64" s="185" t="s">
        <v>690</v>
      </c>
      <c r="C64" s="185"/>
      <c r="D64" s="185"/>
      <c r="E64" s="186" t="s">
        <v>106</v>
      </c>
      <c r="F64" s="157"/>
    </row>
    <row r="65" spans="2:6" ht="9.75" customHeight="1" x14ac:dyDescent="0.35">
      <c r="B65" s="35"/>
      <c r="C65" s="35"/>
      <c r="D65" s="35"/>
      <c r="E65" s="35"/>
      <c r="F65" s="35"/>
    </row>
    <row r="66" spans="2:6" ht="15.75" customHeight="1" x14ac:dyDescent="0.35">
      <c r="B66" s="181" t="s">
        <v>229</v>
      </c>
      <c r="C66" s="181"/>
      <c r="D66" s="181"/>
      <c r="E66" s="181"/>
      <c r="F66" s="181"/>
    </row>
    <row r="67" spans="2:6" ht="19.5" customHeight="1" x14ac:dyDescent="0.35">
      <c r="B67" s="182" t="s">
        <v>178</v>
      </c>
      <c r="C67" s="182" t="s">
        <v>132</v>
      </c>
      <c r="D67" s="182" t="s">
        <v>133</v>
      </c>
      <c r="E67" s="182" t="s">
        <v>99</v>
      </c>
      <c r="F67" s="157"/>
    </row>
    <row r="68" spans="2:6" ht="27.75" customHeight="1" x14ac:dyDescent="0.35">
      <c r="B68" s="183" t="s">
        <v>190</v>
      </c>
      <c r="C68" s="183" t="s">
        <v>191</v>
      </c>
      <c r="D68" s="183" t="s">
        <v>541</v>
      </c>
      <c r="E68" s="157" t="s">
        <v>691</v>
      </c>
      <c r="F68" s="157"/>
    </row>
    <row r="69" spans="2:6" ht="27.75" customHeight="1" x14ac:dyDescent="0.35">
      <c r="B69" s="184" t="s">
        <v>192</v>
      </c>
      <c r="C69" s="184" t="s">
        <v>193</v>
      </c>
      <c r="D69" s="184" t="s">
        <v>541</v>
      </c>
      <c r="E69" s="157" t="s">
        <v>692</v>
      </c>
      <c r="F69" s="157"/>
    </row>
    <row r="70" spans="2:6" ht="27.75" customHeight="1" x14ac:dyDescent="0.35">
      <c r="B70" s="183" t="s">
        <v>194</v>
      </c>
      <c r="C70" s="183" t="s">
        <v>195</v>
      </c>
      <c r="D70" s="183" t="s">
        <v>551</v>
      </c>
      <c r="E70" s="157" t="s">
        <v>693</v>
      </c>
      <c r="F70" s="157"/>
    </row>
    <row r="71" spans="2:6" ht="27.75" customHeight="1" x14ac:dyDescent="0.35">
      <c r="B71" s="184" t="s">
        <v>196</v>
      </c>
      <c r="C71" s="184" t="s">
        <v>197</v>
      </c>
      <c r="D71" s="184" t="s">
        <v>541</v>
      </c>
      <c r="E71" s="157" t="s">
        <v>694</v>
      </c>
      <c r="F71" s="157"/>
    </row>
    <row r="72" spans="2:6" ht="27.75" customHeight="1" x14ac:dyDescent="0.35">
      <c r="B72" s="183" t="s">
        <v>198</v>
      </c>
      <c r="C72" s="183" t="s">
        <v>199</v>
      </c>
      <c r="D72" s="183" t="s">
        <v>541</v>
      </c>
      <c r="E72" s="157" t="s">
        <v>695</v>
      </c>
      <c r="F72" s="157"/>
    </row>
    <row r="73" spans="2:6" ht="27.75" customHeight="1" x14ac:dyDescent="0.35">
      <c r="B73" s="184" t="s">
        <v>200</v>
      </c>
      <c r="C73" s="184" t="s">
        <v>201</v>
      </c>
      <c r="D73" s="184" t="s">
        <v>550</v>
      </c>
      <c r="E73" s="157" t="s">
        <v>696</v>
      </c>
      <c r="F73" s="157"/>
    </row>
    <row r="74" spans="2:6" ht="24" customHeight="1" x14ac:dyDescent="0.35">
      <c r="B74" s="185" t="s">
        <v>697</v>
      </c>
      <c r="C74" s="185"/>
      <c r="D74" s="185"/>
      <c r="E74" s="186" t="s">
        <v>106</v>
      </c>
      <c r="F74" s="157"/>
    </row>
    <row r="75" spans="2:6" ht="9.75" customHeight="1" x14ac:dyDescent="0.35">
      <c r="B75" s="35"/>
      <c r="C75" s="35"/>
      <c r="D75" s="35"/>
      <c r="E75" s="35"/>
      <c r="F75" s="35"/>
    </row>
    <row r="76" spans="2:6" ht="15.75" customHeight="1" x14ac:dyDescent="0.35">
      <c r="B76" s="181" t="s">
        <v>230</v>
      </c>
      <c r="C76" s="181"/>
      <c r="D76" s="181"/>
      <c r="E76" s="181"/>
      <c r="F76" s="181"/>
    </row>
    <row r="77" spans="2:6" ht="19.5" customHeight="1" x14ac:dyDescent="0.35">
      <c r="B77" s="182" t="s">
        <v>178</v>
      </c>
      <c r="C77" s="182" t="s">
        <v>132</v>
      </c>
      <c r="D77" s="182" t="s">
        <v>133</v>
      </c>
      <c r="E77" s="182" t="s">
        <v>99</v>
      </c>
      <c r="F77" s="157"/>
    </row>
    <row r="78" spans="2:6" ht="27.75" customHeight="1" x14ac:dyDescent="0.35">
      <c r="B78" s="183" t="s">
        <v>203</v>
      </c>
      <c r="C78" s="183" t="s">
        <v>204</v>
      </c>
      <c r="D78" s="183" t="s">
        <v>541</v>
      </c>
      <c r="E78" s="157" t="s">
        <v>698</v>
      </c>
      <c r="F78" s="157"/>
    </row>
    <row r="79" spans="2:6" ht="27.75" customHeight="1" x14ac:dyDescent="0.35">
      <c r="B79" s="184" t="s">
        <v>205</v>
      </c>
      <c r="C79" s="184" t="s">
        <v>206</v>
      </c>
      <c r="D79" s="184" t="s">
        <v>551</v>
      </c>
      <c r="E79" s="157" t="s">
        <v>699</v>
      </c>
      <c r="F79" s="157"/>
    </row>
    <row r="80" spans="2:6" ht="27.75" customHeight="1" x14ac:dyDescent="0.35">
      <c r="B80" s="183" t="s">
        <v>207</v>
      </c>
      <c r="C80" s="183" t="s">
        <v>208</v>
      </c>
      <c r="D80" s="183" t="s">
        <v>541</v>
      </c>
      <c r="E80" s="157" t="s">
        <v>700</v>
      </c>
      <c r="F80" s="157"/>
    </row>
    <row r="81" spans="2:6" ht="27.75" customHeight="1" x14ac:dyDescent="0.35">
      <c r="B81" s="184" t="s">
        <v>209</v>
      </c>
      <c r="C81" s="184" t="s">
        <v>210</v>
      </c>
      <c r="D81" s="184" t="s">
        <v>541</v>
      </c>
      <c r="E81" s="157" t="s">
        <v>701</v>
      </c>
      <c r="F81" s="157"/>
    </row>
    <row r="82" spans="2:6" ht="27.75" customHeight="1" x14ac:dyDescent="0.35">
      <c r="B82" s="183" t="s">
        <v>211</v>
      </c>
      <c r="C82" s="183" t="s">
        <v>212</v>
      </c>
      <c r="D82" s="183" t="s">
        <v>541</v>
      </c>
      <c r="E82" s="157" t="s">
        <v>702</v>
      </c>
      <c r="F82" s="157"/>
    </row>
    <row r="83" spans="2:6" ht="24" customHeight="1" x14ac:dyDescent="0.35">
      <c r="B83" s="185" t="s">
        <v>630</v>
      </c>
      <c r="C83" s="185"/>
      <c r="D83" s="185"/>
      <c r="E83" s="186" t="s">
        <v>703</v>
      </c>
      <c r="F83" s="157"/>
    </row>
    <row r="84" spans="2:6" ht="9.75" customHeight="1" x14ac:dyDescent="0.35">
      <c r="B84" s="35"/>
      <c r="C84" s="35"/>
      <c r="D84" s="35"/>
      <c r="E84" s="35"/>
      <c r="F84" s="35"/>
    </row>
    <row r="85" spans="2:6" ht="15.75" customHeight="1" x14ac:dyDescent="0.35">
      <c r="B85" s="181" t="s">
        <v>231</v>
      </c>
      <c r="C85" s="181"/>
      <c r="D85" s="181"/>
      <c r="E85" s="181"/>
      <c r="F85" s="181"/>
    </row>
    <row r="86" spans="2:6" ht="19.5" customHeight="1" x14ac:dyDescent="0.35">
      <c r="B86" s="182" t="s">
        <v>178</v>
      </c>
      <c r="C86" s="182" t="s">
        <v>132</v>
      </c>
      <c r="D86" s="182" t="s">
        <v>133</v>
      </c>
      <c r="E86" s="182" t="s">
        <v>99</v>
      </c>
      <c r="F86" s="157"/>
    </row>
    <row r="87" spans="2:6" ht="27.75" customHeight="1" x14ac:dyDescent="0.35">
      <c r="B87" s="183" t="s">
        <v>214</v>
      </c>
      <c r="C87" s="183" t="s">
        <v>215</v>
      </c>
      <c r="D87" s="183" t="s">
        <v>541</v>
      </c>
      <c r="E87" s="157" t="s">
        <v>704</v>
      </c>
      <c r="F87" s="157"/>
    </row>
    <row r="88" spans="2:6" ht="27.75" customHeight="1" x14ac:dyDescent="0.35">
      <c r="B88" s="184" t="s">
        <v>216</v>
      </c>
      <c r="C88" s="184" t="s">
        <v>217</v>
      </c>
      <c r="D88" s="184" t="s">
        <v>541</v>
      </c>
      <c r="E88" s="157" t="s">
        <v>705</v>
      </c>
      <c r="F88" s="157"/>
    </row>
    <row r="89" spans="2:6" ht="27.75" customHeight="1" x14ac:dyDescent="0.35">
      <c r="B89" s="183" t="s">
        <v>218</v>
      </c>
      <c r="C89" s="183" t="s">
        <v>219</v>
      </c>
      <c r="D89" s="183" t="s">
        <v>541</v>
      </c>
      <c r="E89" s="157" t="s">
        <v>706</v>
      </c>
      <c r="F89" s="157"/>
    </row>
    <row r="90" spans="2:6" ht="27.75" customHeight="1" x14ac:dyDescent="0.35">
      <c r="B90" s="184" t="s">
        <v>220</v>
      </c>
      <c r="C90" s="184" t="s">
        <v>221</v>
      </c>
      <c r="D90" s="184" t="s">
        <v>541</v>
      </c>
      <c r="E90" s="157" t="s">
        <v>707</v>
      </c>
      <c r="F90" s="157"/>
    </row>
    <row r="91" spans="2:6" ht="24" customHeight="1" x14ac:dyDescent="0.35">
      <c r="B91" s="185" t="s">
        <v>637</v>
      </c>
      <c r="C91" s="185"/>
      <c r="D91" s="185"/>
      <c r="E91" s="186" t="s">
        <v>708</v>
      </c>
      <c r="F91" s="157"/>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9"/>
  <sheetViews>
    <sheetView showGridLines="0" topLeftCell="A8" zoomScale="44" zoomScaleNormal="100" workbookViewId="0">
      <selection activeCell="P18" sqref="P18"/>
    </sheetView>
  </sheetViews>
  <sheetFormatPr defaultColWidth="8.6328125" defaultRowHeight="14.5" x14ac:dyDescent="0.35"/>
  <cols>
    <col min="1" max="1" width="3" customWidth="1"/>
    <col min="2" max="2" width="25" customWidth="1"/>
    <col min="3" max="4" width="8" customWidth="1"/>
    <col min="5" max="5" width="44" customWidth="1"/>
    <col min="6" max="6" width="59.1796875" customWidth="1"/>
    <col min="7" max="7" width="5" customWidth="1"/>
  </cols>
  <sheetData>
    <row r="1" spans="2:6" ht="31.5" customHeight="1" x14ac:dyDescent="0.35">
      <c r="B1" s="118" t="s">
        <v>232</v>
      </c>
      <c r="C1" s="118"/>
      <c r="D1" s="118"/>
      <c r="E1" s="118"/>
      <c r="F1" s="118"/>
    </row>
    <row r="2" spans="2:6" ht="18" customHeight="1" x14ac:dyDescent="0.35">
      <c r="B2" s="131" t="s">
        <v>233</v>
      </c>
      <c r="C2" s="131"/>
      <c r="D2" s="131"/>
      <c r="E2" s="131"/>
      <c r="F2" s="131"/>
    </row>
    <row r="3" spans="2:6" ht="7.5" customHeight="1" x14ac:dyDescent="0.35"/>
    <row r="4" spans="2:6" ht="15.75" customHeight="1" x14ac:dyDescent="0.35">
      <c r="B4" s="120" t="s">
        <v>234</v>
      </c>
      <c r="C4" s="120"/>
      <c r="D4" s="120"/>
      <c r="E4" s="120"/>
      <c r="F4" s="120"/>
    </row>
    <row r="5" spans="2:6" ht="18" customHeight="1" x14ac:dyDescent="0.35">
      <c r="B5" s="6" t="s">
        <v>46</v>
      </c>
      <c r="C5" s="133" t="s">
        <v>542</v>
      </c>
      <c r="D5" s="133"/>
      <c r="E5" s="133"/>
      <c r="F5" s="133"/>
    </row>
    <row r="6" spans="2:6" ht="18" customHeight="1" x14ac:dyDescent="0.35">
      <c r="B6" s="6" t="s">
        <v>235</v>
      </c>
      <c r="C6" s="133" t="s">
        <v>546</v>
      </c>
      <c r="D6" s="133"/>
      <c r="E6" s="133"/>
      <c r="F6" s="133"/>
    </row>
    <row r="7" spans="2:6" ht="18" customHeight="1" x14ac:dyDescent="0.35">
      <c r="B7" s="6" t="s">
        <v>236</v>
      </c>
      <c r="C7" s="133" t="s">
        <v>539</v>
      </c>
      <c r="D7" s="133"/>
      <c r="E7" s="133"/>
      <c r="F7" s="133"/>
    </row>
    <row r="8" spans="2:6" ht="18" customHeight="1" x14ac:dyDescent="0.35">
      <c r="B8" s="6" t="s">
        <v>8</v>
      </c>
      <c r="C8" s="133">
        <v>11</v>
      </c>
      <c r="D8" s="133"/>
      <c r="E8" s="133"/>
      <c r="F8" s="133"/>
    </row>
    <row r="9" spans="2:6" ht="18" customHeight="1" x14ac:dyDescent="0.35">
      <c r="B9" s="6" t="s">
        <v>237</v>
      </c>
      <c r="C9" s="133" t="s">
        <v>535</v>
      </c>
      <c r="D9" s="133"/>
      <c r="E9" s="133"/>
      <c r="F9" s="133"/>
    </row>
    <row r="10" spans="2:6" ht="7.5" customHeight="1" x14ac:dyDescent="0.35"/>
    <row r="11" spans="2:6" ht="15.75" customHeight="1" x14ac:dyDescent="0.35">
      <c r="B11" s="152" t="s">
        <v>238</v>
      </c>
      <c r="C11" s="152"/>
      <c r="D11" s="152"/>
      <c r="E11" s="152"/>
      <c r="F11" s="152"/>
    </row>
    <row r="12" spans="2:6" ht="30" customHeight="1" x14ac:dyDescent="0.35">
      <c r="B12" s="187" t="s">
        <v>239</v>
      </c>
      <c r="C12" s="187" t="s">
        <v>240</v>
      </c>
      <c r="D12" s="187" t="s">
        <v>241</v>
      </c>
      <c r="E12" s="187" t="s">
        <v>242</v>
      </c>
      <c r="F12" s="187" t="s">
        <v>243</v>
      </c>
    </row>
    <row r="13" spans="2:6" ht="69.75" customHeight="1" x14ac:dyDescent="0.35">
      <c r="B13" s="188" t="s">
        <v>244</v>
      </c>
      <c r="C13" s="189">
        <v>3</v>
      </c>
      <c r="D13" s="190" t="s">
        <v>245</v>
      </c>
      <c r="E13" s="191" t="s">
        <v>710</v>
      </c>
      <c r="F13" s="192">
        <v>0.45</v>
      </c>
    </row>
    <row r="14" spans="2:6" ht="69.75" customHeight="1" x14ac:dyDescent="0.35">
      <c r="B14" s="193" t="s">
        <v>246</v>
      </c>
      <c r="C14" s="189">
        <v>4</v>
      </c>
      <c r="D14" s="194" t="s">
        <v>247</v>
      </c>
      <c r="E14" s="191" t="s">
        <v>711</v>
      </c>
      <c r="F14" s="195">
        <v>0.48</v>
      </c>
    </row>
    <row r="15" spans="2:6" ht="69.75" customHeight="1" x14ac:dyDescent="0.35">
      <c r="B15" s="188" t="s">
        <v>248</v>
      </c>
      <c r="C15" s="189">
        <v>5</v>
      </c>
      <c r="D15" s="190" t="s">
        <v>249</v>
      </c>
      <c r="E15" s="191" t="s">
        <v>712</v>
      </c>
      <c r="F15" s="192">
        <v>0.5</v>
      </c>
    </row>
    <row r="16" spans="2:6" ht="69.75" customHeight="1" x14ac:dyDescent="0.35">
      <c r="B16" s="193" t="s">
        <v>250</v>
      </c>
      <c r="C16" s="189">
        <v>3</v>
      </c>
      <c r="D16" s="194" t="s">
        <v>245</v>
      </c>
      <c r="E16" s="191" t="s">
        <v>713</v>
      </c>
      <c r="F16" s="195">
        <v>0.45</v>
      </c>
    </row>
    <row r="17" spans="2:6" ht="69.75" customHeight="1" x14ac:dyDescent="0.35">
      <c r="B17" s="188" t="s">
        <v>251</v>
      </c>
      <c r="C17" s="189">
        <v>2</v>
      </c>
      <c r="D17" s="190" t="s">
        <v>245</v>
      </c>
      <c r="E17" s="191" t="s">
        <v>714</v>
      </c>
      <c r="F17" s="192">
        <v>0.3</v>
      </c>
    </row>
    <row r="18" spans="2:6" ht="69.75" customHeight="1" x14ac:dyDescent="0.35">
      <c r="B18" s="193" t="s">
        <v>252</v>
      </c>
      <c r="C18" s="189">
        <v>4</v>
      </c>
      <c r="D18" s="194" t="s">
        <v>245</v>
      </c>
      <c r="E18" s="191" t="s">
        <v>715</v>
      </c>
      <c r="F18" s="195">
        <v>0.6</v>
      </c>
    </row>
    <row r="19" spans="2:6" ht="69.75" customHeight="1" x14ac:dyDescent="0.35">
      <c r="B19" s="188" t="s">
        <v>253</v>
      </c>
      <c r="C19" s="189">
        <v>4</v>
      </c>
      <c r="D19" s="190" t="s">
        <v>254</v>
      </c>
      <c r="E19" s="191" t="s">
        <v>716</v>
      </c>
      <c r="F19" s="192">
        <v>0.32</v>
      </c>
    </row>
    <row r="20" spans="2:6" ht="69.75" customHeight="1" x14ac:dyDescent="0.35">
      <c r="B20" s="193" t="s">
        <v>255</v>
      </c>
      <c r="C20" s="189">
        <v>5</v>
      </c>
      <c r="D20" s="194" t="s">
        <v>249</v>
      </c>
      <c r="E20" s="191" t="s">
        <v>717</v>
      </c>
      <c r="F20" s="195">
        <v>0.5</v>
      </c>
    </row>
    <row r="21" spans="2:6" ht="25.5" customHeight="1" x14ac:dyDescent="0.35">
      <c r="B21" s="196" t="s">
        <v>256</v>
      </c>
      <c r="C21" s="196"/>
      <c r="D21" s="196"/>
      <c r="E21" s="196"/>
      <c r="F21" s="197">
        <f>SUM(F13:F20)</f>
        <v>3.5999999999999996</v>
      </c>
    </row>
    <row r="22" spans="2:6" ht="9.75" customHeight="1" x14ac:dyDescent="0.35"/>
    <row r="23" spans="2:6" ht="15.75" customHeight="1" x14ac:dyDescent="0.35">
      <c r="B23" s="120" t="s">
        <v>257</v>
      </c>
      <c r="C23" s="120"/>
      <c r="D23" s="120"/>
      <c r="E23" s="120"/>
      <c r="F23" s="120"/>
    </row>
    <row r="24" spans="2:6" ht="18" customHeight="1" x14ac:dyDescent="0.35">
      <c r="B24" s="4" t="s">
        <v>178</v>
      </c>
      <c r="C24" s="4" t="s">
        <v>258</v>
      </c>
      <c r="D24" s="123"/>
      <c r="E24" s="123"/>
      <c r="F24" s="4"/>
    </row>
    <row r="25" spans="2:6" ht="24" customHeight="1" x14ac:dyDescent="0.35">
      <c r="B25" s="46" t="s">
        <v>259</v>
      </c>
      <c r="C25" s="140" t="s">
        <v>260</v>
      </c>
      <c r="D25" s="140"/>
      <c r="E25" s="47"/>
      <c r="F25" s="48" t="s">
        <v>261</v>
      </c>
    </row>
    <row r="26" spans="2:6" ht="24" customHeight="1" x14ac:dyDescent="0.35">
      <c r="B26" s="49" t="s">
        <v>262</v>
      </c>
      <c r="C26" s="125" t="s">
        <v>263</v>
      </c>
      <c r="D26" s="125"/>
      <c r="E26" s="47"/>
      <c r="F26" s="48" t="s">
        <v>264</v>
      </c>
    </row>
    <row r="27" spans="2:6" ht="24" customHeight="1" x14ac:dyDescent="0.35">
      <c r="B27" s="46" t="s">
        <v>265</v>
      </c>
      <c r="C27" s="140" t="s">
        <v>266</v>
      </c>
      <c r="D27" s="140"/>
      <c r="E27" s="47"/>
      <c r="F27" s="48" t="s">
        <v>267</v>
      </c>
    </row>
    <row r="28" spans="2:6" ht="24" customHeight="1" x14ac:dyDescent="0.35">
      <c r="B28" s="49" t="s">
        <v>268</v>
      </c>
      <c r="C28" s="125" t="s">
        <v>269</v>
      </c>
      <c r="D28" s="125"/>
      <c r="E28" s="47"/>
      <c r="F28" s="48" t="s">
        <v>270</v>
      </c>
    </row>
    <row r="29" spans="2:6" ht="24" customHeight="1" x14ac:dyDescent="0.35">
      <c r="B29" s="46" t="s">
        <v>271</v>
      </c>
      <c r="C29" s="140" t="s">
        <v>272</v>
      </c>
      <c r="D29" s="140"/>
      <c r="E29" s="47"/>
      <c r="F29" s="48" t="s">
        <v>273</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9"/>
  <sheetViews>
    <sheetView showGridLines="0" topLeftCell="A11" zoomScale="47" zoomScaleNormal="100" workbookViewId="0">
      <selection activeCell="L16" sqref="L16"/>
    </sheetView>
  </sheetViews>
  <sheetFormatPr defaultColWidth="8.6328125" defaultRowHeight="14.5" x14ac:dyDescent="0.35"/>
  <cols>
    <col min="1" max="1" width="3" customWidth="1"/>
    <col min="2" max="2" width="25" customWidth="1"/>
    <col min="3" max="4" width="8" customWidth="1"/>
    <col min="5" max="5" width="44" customWidth="1"/>
    <col min="6" max="6" width="10" customWidth="1"/>
    <col min="7" max="7" width="5" customWidth="1"/>
  </cols>
  <sheetData>
    <row r="1" spans="2:6" ht="31.5" customHeight="1" x14ac:dyDescent="0.35">
      <c r="B1" s="118" t="s">
        <v>274</v>
      </c>
      <c r="C1" s="118"/>
      <c r="D1" s="118"/>
      <c r="E1" s="118"/>
      <c r="F1" s="118"/>
    </row>
    <row r="2" spans="2:6" ht="18" customHeight="1" x14ac:dyDescent="0.35">
      <c r="B2" s="119" t="s">
        <v>233</v>
      </c>
      <c r="C2" s="119"/>
      <c r="D2" s="119"/>
      <c r="E2" s="119"/>
      <c r="F2" s="119"/>
    </row>
    <row r="3" spans="2:6" ht="7.5" customHeight="1" x14ac:dyDescent="0.35"/>
    <row r="4" spans="2:6" ht="15.75" customHeight="1" x14ac:dyDescent="0.35">
      <c r="B4" s="120" t="s">
        <v>234</v>
      </c>
      <c r="C4" s="120"/>
      <c r="D4" s="120"/>
      <c r="E4" s="120"/>
      <c r="F4" s="120"/>
    </row>
    <row r="5" spans="2:6" ht="18" customHeight="1" x14ac:dyDescent="0.35">
      <c r="B5" s="6" t="s">
        <v>46</v>
      </c>
      <c r="C5" s="133" t="s">
        <v>718</v>
      </c>
      <c r="D5" s="133"/>
      <c r="E5" s="133"/>
      <c r="F5" s="133"/>
    </row>
    <row r="6" spans="2:6" ht="18" customHeight="1" x14ac:dyDescent="0.35">
      <c r="B6" s="6" t="s">
        <v>235</v>
      </c>
      <c r="C6" s="133" t="s">
        <v>549</v>
      </c>
      <c r="D6" s="133"/>
      <c r="E6" s="133"/>
      <c r="F6" s="133"/>
    </row>
    <row r="7" spans="2:6" ht="18" customHeight="1" x14ac:dyDescent="0.35">
      <c r="B7" s="6" t="s">
        <v>236</v>
      </c>
      <c r="C7" s="133" t="s">
        <v>536</v>
      </c>
      <c r="D7" s="133"/>
      <c r="E7" s="133"/>
      <c r="F7" s="133"/>
    </row>
    <row r="8" spans="2:6" ht="18" customHeight="1" x14ac:dyDescent="0.35">
      <c r="B8" s="6" t="s">
        <v>8</v>
      </c>
      <c r="C8" s="133">
        <v>11</v>
      </c>
      <c r="D8" s="133"/>
      <c r="E8" s="133"/>
      <c r="F8" s="133"/>
    </row>
    <row r="9" spans="2:6" ht="18" customHeight="1" x14ac:dyDescent="0.35">
      <c r="B9" s="6" t="s">
        <v>237</v>
      </c>
      <c r="C9" s="133" t="s">
        <v>535</v>
      </c>
      <c r="D9" s="133"/>
      <c r="E9" s="133"/>
      <c r="F9" s="133"/>
    </row>
    <row r="10" spans="2:6" ht="7.5" customHeight="1" x14ac:dyDescent="0.35"/>
    <row r="11" spans="2:6" ht="15.75" customHeight="1" x14ac:dyDescent="0.35">
      <c r="B11" s="152" t="s">
        <v>238</v>
      </c>
      <c r="C11" s="152"/>
      <c r="D11" s="152"/>
      <c r="E11" s="152"/>
      <c r="F11" s="152"/>
    </row>
    <row r="12" spans="2:6" ht="30" customHeight="1" x14ac:dyDescent="0.35">
      <c r="B12" s="187" t="s">
        <v>239</v>
      </c>
      <c r="C12" s="187" t="s">
        <v>240</v>
      </c>
      <c r="D12" s="187" t="s">
        <v>241</v>
      </c>
      <c r="E12" s="187" t="s">
        <v>242</v>
      </c>
      <c r="F12" s="187" t="s">
        <v>243</v>
      </c>
    </row>
    <row r="13" spans="2:6" ht="69.75" customHeight="1" x14ac:dyDescent="0.35">
      <c r="B13" s="188" t="s">
        <v>244</v>
      </c>
      <c r="C13" s="189">
        <v>4</v>
      </c>
      <c r="D13" s="190" t="s">
        <v>245</v>
      </c>
      <c r="E13" s="198" t="s">
        <v>719</v>
      </c>
      <c r="F13" s="192">
        <v>0.75</v>
      </c>
    </row>
    <row r="14" spans="2:6" ht="69.75" customHeight="1" x14ac:dyDescent="0.35">
      <c r="B14" s="193" t="s">
        <v>246</v>
      </c>
      <c r="C14" s="189">
        <v>5</v>
      </c>
      <c r="D14" s="194" t="s">
        <v>247</v>
      </c>
      <c r="E14" s="198" t="s">
        <v>720</v>
      </c>
      <c r="F14" s="195">
        <v>0.48</v>
      </c>
    </row>
    <row r="15" spans="2:6" ht="69.75" customHeight="1" x14ac:dyDescent="0.35">
      <c r="B15" s="188" t="s">
        <v>248</v>
      </c>
      <c r="C15" s="189">
        <v>5</v>
      </c>
      <c r="D15" s="190" t="s">
        <v>249</v>
      </c>
      <c r="E15" s="198" t="s">
        <v>721</v>
      </c>
      <c r="F15" s="192">
        <v>0.5</v>
      </c>
    </row>
    <row r="16" spans="2:6" ht="69.75" customHeight="1" x14ac:dyDescent="0.35">
      <c r="B16" s="193" t="s">
        <v>250</v>
      </c>
      <c r="C16" s="189">
        <v>4.5</v>
      </c>
      <c r="D16" s="194" t="s">
        <v>245</v>
      </c>
      <c r="E16" s="198" t="s">
        <v>723</v>
      </c>
      <c r="F16" s="195">
        <v>0.6</v>
      </c>
    </row>
    <row r="17" spans="2:6" ht="69.75" customHeight="1" x14ac:dyDescent="0.35">
      <c r="B17" s="188" t="s">
        <v>251</v>
      </c>
      <c r="C17" s="189">
        <v>4</v>
      </c>
      <c r="D17" s="190" t="s">
        <v>245</v>
      </c>
      <c r="E17" s="198" t="s">
        <v>722</v>
      </c>
      <c r="F17" s="192">
        <f>C17*0.15</f>
        <v>0.6</v>
      </c>
    </row>
    <row r="18" spans="2:6" ht="69.75" customHeight="1" x14ac:dyDescent="0.35">
      <c r="B18" s="193" t="s">
        <v>252</v>
      </c>
      <c r="C18" s="189">
        <v>4.5</v>
      </c>
      <c r="D18" s="194" t="s">
        <v>245</v>
      </c>
      <c r="E18" s="198" t="s">
        <v>724</v>
      </c>
      <c r="F18" s="195">
        <v>0.6</v>
      </c>
    </row>
    <row r="19" spans="2:6" ht="69.75" customHeight="1" x14ac:dyDescent="0.35">
      <c r="B19" s="188" t="s">
        <v>253</v>
      </c>
      <c r="C19" s="189">
        <v>4</v>
      </c>
      <c r="D19" s="190" t="s">
        <v>254</v>
      </c>
      <c r="E19" s="198" t="s">
        <v>725</v>
      </c>
      <c r="F19" s="192">
        <v>0.24</v>
      </c>
    </row>
    <row r="20" spans="2:6" ht="69.75" customHeight="1" x14ac:dyDescent="0.35">
      <c r="B20" s="193" t="s">
        <v>255</v>
      </c>
      <c r="C20" s="189">
        <v>5</v>
      </c>
      <c r="D20" s="194" t="s">
        <v>249</v>
      </c>
      <c r="E20" s="198" t="s">
        <v>726</v>
      </c>
      <c r="F20" s="195">
        <f>C20*0.1</f>
        <v>0.5</v>
      </c>
    </row>
    <row r="21" spans="2:6" ht="25.5" customHeight="1" x14ac:dyDescent="0.35">
      <c r="B21" s="196" t="s">
        <v>256</v>
      </c>
      <c r="C21" s="196"/>
      <c r="D21" s="196"/>
      <c r="E21" s="196"/>
      <c r="F21" s="197">
        <f>SUM(F13:F20)</f>
        <v>4.2700000000000005</v>
      </c>
    </row>
    <row r="22" spans="2:6" ht="9.75" customHeight="1" x14ac:dyDescent="0.35"/>
    <row r="23" spans="2:6" ht="15.75" customHeight="1" x14ac:dyDescent="0.35">
      <c r="B23" s="120" t="s">
        <v>257</v>
      </c>
      <c r="C23" s="120"/>
      <c r="D23" s="120"/>
      <c r="E23" s="120"/>
      <c r="F23" s="120"/>
    </row>
    <row r="24" spans="2:6" ht="18" customHeight="1" x14ac:dyDescent="0.35">
      <c r="B24" s="4" t="s">
        <v>178</v>
      </c>
      <c r="C24" s="4" t="s">
        <v>258</v>
      </c>
      <c r="D24" s="123"/>
      <c r="E24" s="123"/>
      <c r="F24" s="4"/>
    </row>
    <row r="25" spans="2:6" ht="24" customHeight="1" x14ac:dyDescent="0.35">
      <c r="B25" s="46" t="s">
        <v>259</v>
      </c>
      <c r="C25" s="140" t="s">
        <v>260</v>
      </c>
      <c r="D25" s="140"/>
      <c r="E25" s="47"/>
      <c r="F25" s="48" t="s">
        <v>261</v>
      </c>
    </row>
    <row r="26" spans="2:6" ht="24" customHeight="1" x14ac:dyDescent="0.35">
      <c r="B26" s="49" t="s">
        <v>262</v>
      </c>
      <c r="C26" s="125" t="s">
        <v>263</v>
      </c>
      <c r="D26" s="125"/>
      <c r="E26" s="47"/>
      <c r="F26" s="48" t="s">
        <v>264</v>
      </c>
    </row>
    <row r="27" spans="2:6" ht="24" customHeight="1" x14ac:dyDescent="0.35">
      <c r="B27" s="46" t="s">
        <v>265</v>
      </c>
      <c r="C27" s="140" t="s">
        <v>266</v>
      </c>
      <c r="D27" s="140"/>
      <c r="E27" s="47"/>
      <c r="F27" s="48" t="s">
        <v>267</v>
      </c>
    </row>
    <row r="28" spans="2:6" ht="24" customHeight="1" x14ac:dyDescent="0.35">
      <c r="B28" s="49" t="s">
        <v>268</v>
      </c>
      <c r="C28" s="125" t="s">
        <v>269</v>
      </c>
      <c r="D28" s="125"/>
      <c r="E28" s="47"/>
      <c r="F28" s="48" t="s">
        <v>270</v>
      </c>
    </row>
    <row r="29" spans="2:6" ht="24" customHeight="1" x14ac:dyDescent="0.35">
      <c r="B29" s="46" t="s">
        <v>271</v>
      </c>
      <c r="C29" s="140" t="s">
        <v>272</v>
      </c>
      <c r="D29" s="140"/>
      <c r="E29" s="47"/>
      <c r="F29" s="48" t="s">
        <v>273</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78"/>
  <sheetViews>
    <sheetView showGridLines="0" topLeftCell="A9" zoomScale="86" zoomScaleNormal="100" workbookViewId="0">
      <selection activeCell="Q84" sqref="Q84"/>
    </sheetView>
  </sheetViews>
  <sheetFormatPr defaultColWidth="8.6328125" defaultRowHeight="14.5" x14ac:dyDescent="0.35"/>
  <cols>
    <col min="1" max="1" width="3" customWidth="1"/>
    <col min="2" max="2" width="26" customWidth="1"/>
    <col min="3" max="5" width="10" customWidth="1"/>
    <col min="6" max="6" width="33.26953125" customWidth="1"/>
    <col min="7" max="7" width="22" customWidth="1"/>
    <col min="8" max="8" width="5" customWidth="1"/>
  </cols>
  <sheetData>
    <row r="1" spans="2:7" ht="31.5" customHeight="1" x14ac:dyDescent="0.35">
      <c r="B1" s="118" t="s">
        <v>275</v>
      </c>
      <c r="C1" s="118"/>
      <c r="D1" s="118"/>
      <c r="E1" s="118"/>
      <c r="F1" s="118"/>
      <c r="G1" s="118"/>
    </row>
    <row r="2" spans="2:7" ht="18" customHeight="1" x14ac:dyDescent="0.35">
      <c r="B2" s="119" t="s">
        <v>276</v>
      </c>
      <c r="C2" s="119"/>
      <c r="D2" s="119"/>
      <c r="E2" s="119"/>
      <c r="F2" s="119"/>
      <c r="G2" s="119"/>
    </row>
    <row r="3" spans="2:7" ht="7.5" customHeight="1" x14ac:dyDescent="0.35"/>
    <row r="4" spans="2:7" ht="15.75" customHeight="1" x14ac:dyDescent="0.35">
      <c r="B4" s="120" t="s">
        <v>277</v>
      </c>
      <c r="C4" s="120"/>
      <c r="D4" s="120"/>
      <c r="E4" s="120"/>
      <c r="F4" s="120"/>
      <c r="G4" s="120"/>
    </row>
    <row r="5" spans="2:7" ht="15.75" customHeight="1" x14ac:dyDescent="0.35">
      <c r="B5" s="6"/>
      <c r="C5" s="6" t="s">
        <v>42</v>
      </c>
      <c r="D5" s="6"/>
      <c r="E5" s="6" t="s">
        <v>43</v>
      </c>
      <c r="F5" s="6"/>
      <c r="G5" s="6" t="s">
        <v>278</v>
      </c>
    </row>
    <row r="6" spans="2:7" ht="21.75" customHeight="1" x14ac:dyDescent="0.35">
      <c r="B6" s="50"/>
      <c r="C6" s="50"/>
      <c r="D6" s="50"/>
      <c r="E6" s="50"/>
      <c r="F6" s="50"/>
      <c r="G6" s="50"/>
    </row>
    <row r="7" spans="2:7" ht="7.5" customHeight="1" x14ac:dyDescent="0.35"/>
    <row r="8" spans="2:7" ht="15.75" customHeight="1" x14ac:dyDescent="0.35">
      <c r="B8" s="120" t="s">
        <v>279</v>
      </c>
      <c r="C8" s="120"/>
      <c r="D8" s="120"/>
      <c r="E8" s="120"/>
      <c r="F8" s="120"/>
      <c r="G8" s="120"/>
    </row>
    <row r="9" spans="2:7" ht="30" customHeight="1" x14ac:dyDescent="0.35">
      <c r="B9" s="20" t="s">
        <v>280</v>
      </c>
      <c r="C9" s="20" t="s">
        <v>241</v>
      </c>
      <c r="D9" s="20" t="s">
        <v>281</v>
      </c>
      <c r="E9" s="20" t="s">
        <v>282</v>
      </c>
      <c r="F9" s="20" t="s">
        <v>283</v>
      </c>
      <c r="G9" s="20" t="s">
        <v>284</v>
      </c>
    </row>
    <row r="10" spans="2:7" ht="21.75" customHeight="1" x14ac:dyDescent="0.35">
      <c r="B10" s="31" t="s">
        <v>244</v>
      </c>
      <c r="C10" s="43" t="s">
        <v>245</v>
      </c>
      <c r="D10" s="51">
        <v>3</v>
      </c>
      <c r="E10" s="51">
        <v>4</v>
      </c>
      <c r="F10" s="52">
        <f t="shared" ref="F10:F17" si="0">ABS(D10-E10)</f>
        <v>1</v>
      </c>
      <c r="G10" s="43" t="s">
        <v>727</v>
      </c>
    </row>
    <row r="11" spans="2:7" ht="21.75" customHeight="1" x14ac:dyDescent="0.35">
      <c r="B11" s="33" t="s">
        <v>246</v>
      </c>
      <c r="C11" s="44" t="s">
        <v>247</v>
      </c>
      <c r="D11" s="51">
        <v>4</v>
      </c>
      <c r="E11" s="51">
        <v>5</v>
      </c>
      <c r="F11" s="53">
        <f t="shared" si="0"/>
        <v>1</v>
      </c>
      <c r="G11" s="44" t="str">
        <f t="shared" ref="G11:G17" si="1">IF(D11&gt;E11,"App 1",IF(E11&gt;D11,"App 2","Tied"))</f>
        <v>App 2</v>
      </c>
    </row>
    <row r="12" spans="2:7" ht="21.75" customHeight="1" x14ac:dyDescent="0.35">
      <c r="B12" s="31" t="s">
        <v>248</v>
      </c>
      <c r="C12" s="43" t="s">
        <v>249</v>
      </c>
      <c r="D12" s="51">
        <v>5</v>
      </c>
      <c r="E12" s="51">
        <v>5</v>
      </c>
      <c r="F12" s="52">
        <f t="shared" si="0"/>
        <v>0</v>
      </c>
      <c r="G12" s="43" t="str">
        <f t="shared" si="1"/>
        <v>Tied</v>
      </c>
    </row>
    <row r="13" spans="2:7" ht="21.75" customHeight="1" x14ac:dyDescent="0.35">
      <c r="B13" s="33" t="s">
        <v>250</v>
      </c>
      <c r="C13" s="44" t="s">
        <v>245</v>
      </c>
      <c r="D13" s="51">
        <v>3</v>
      </c>
      <c r="E13" s="51">
        <v>4.5</v>
      </c>
      <c r="F13" s="115" t="s">
        <v>731</v>
      </c>
      <c r="G13" s="44" t="s">
        <v>727</v>
      </c>
    </row>
    <row r="14" spans="2:7" ht="21.75" customHeight="1" x14ac:dyDescent="0.35">
      <c r="B14" s="31" t="s">
        <v>251</v>
      </c>
      <c r="C14" s="43" t="s">
        <v>245</v>
      </c>
      <c r="D14" s="51">
        <v>2</v>
      </c>
      <c r="E14" s="51">
        <v>4</v>
      </c>
      <c r="F14" s="52">
        <f t="shared" si="0"/>
        <v>2</v>
      </c>
      <c r="G14" s="43" t="str">
        <f t="shared" si="1"/>
        <v>App 2</v>
      </c>
    </row>
    <row r="15" spans="2:7" ht="21.75" customHeight="1" x14ac:dyDescent="0.35">
      <c r="B15" s="33" t="s">
        <v>252</v>
      </c>
      <c r="C15" s="44" t="s">
        <v>245</v>
      </c>
      <c r="D15" s="51">
        <v>4</v>
      </c>
      <c r="E15" s="51">
        <v>4.5</v>
      </c>
      <c r="F15" s="115" t="s">
        <v>728</v>
      </c>
      <c r="G15" s="44" t="str">
        <f t="shared" si="1"/>
        <v>App 2</v>
      </c>
    </row>
    <row r="16" spans="2:7" ht="21.75" customHeight="1" x14ac:dyDescent="0.35">
      <c r="B16" s="31" t="s">
        <v>253</v>
      </c>
      <c r="C16" s="43" t="s">
        <v>254</v>
      </c>
      <c r="D16" s="51">
        <v>4</v>
      </c>
      <c r="E16" s="51">
        <v>4</v>
      </c>
      <c r="F16" s="52">
        <f t="shared" si="0"/>
        <v>0</v>
      </c>
      <c r="G16" s="43" t="str">
        <f t="shared" si="1"/>
        <v>Tied</v>
      </c>
    </row>
    <row r="17" spans="2:7" ht="21.75" customHeight="1" x14ac:dyDescent="0.35">
      <c r="B17" s="33" t="s">
        <v>255</v>
      </c>
      <c r="C17" s="44" t="s">
        <v>249</v>
      </c>
      <c r="D17" s="51">
        <v>5</v>
      </c>
      <c r="E17" s="51">
        <v>5</v>
      </c>
      <c r="F17" s="53">
        <f t="shared" si="0"/>
        <v>0</v>
      </c>
      <c r="G17" s="44" t="str">
        <f t="shared" si="1"/>
        <v>Tied</v>
      </c>
    </row>
    <row r="18" spans="2:7" ht="21.75" customHeight="1" x14ac:dyDescent="0.35">
      <c r="B18" s="1"/>
      <c r="C18" s="1"/>
      <c r="D18" s="1" t="s">
        <v>285</v>
      </c>
      <c r="E18" s="1" t="s">
        <v>286</v>
      </c>
      <c r="F18" s="1" t="s">
        <v>287</v>
      </c>
      <c r="G18" s="1"/>
    </row>
    <row r="19" spans="2:7" ht="25.5" customHeight="1" x14ac:dyDescent="0.35">
      <c r="B19" s="121" t="s">
        <v>288</v>
      </c>
      <c r="C19" s="121"/>
      <c r="D19" s="45">
        <f>D10*0.15+D11*0.12+D12*0.1+D13*0.15+D14*0.15+D15*0.15+D16*0.08+D17*0.1</f>
        <v>3.5999999999999996</v>
      </c>
      <c r="E19" s="45">
        <v>4.2699999999999996</v>
      </c>
      <c r="F19" s="54">
        <f>ABS(D19-E19)</f>
        <v>0.66999999999999993</v>
      </c>
      <c r="G19" s="55" t="str">
        <f>IF(D19&gt;E19,"App 1 — "&amp;C6," App 2 — "&amp;C6)</f>
        <v xml:space="preserve"> App 2 — </v>
      </c>
    </row>
    <row r="20" spans="2:7" ht="9.75" customHeight="1" x14ac:dyDescent="0.35"/>
    <row r="21" spans="2:7" ht="15.75" customHeight="1" x14ac:dyDescent="0.35">
      <c r="B21" s="120" t="s">
        <v>289</v>
      </c>
      <c r="C21" s="120"/>
      <c r="D21" s="120"/>
      <c r="E21" s="120"/>
      <c r="F21" s="120"/>
      <c r="G21" s="120"/>
    </row>
    <row r="22" spans="2:7" ht="18" customHeight="1" x14ac:dyDescent="0.35">
      <c r="B22" s="119" t="s">
        <v>290</v>
      </c>
      <c r="C22" s="119"/>
      <c r="D22" s="119"/>
      <c r="E22" s="119"/>
      <c r="F22" s="119"/>
      <c r="G22" s="119"/>
    </row>
    <row r="23" spans="2:7" ht="19.5" customHeight="1" x14ac:dyDescent="0.35">
      <c r="B23" s="1" t="s">
        <v>291</v>
      </c>
      <c r="C23" s="1" t="s">
        <v>241</v>
      </c>
      <c r="D23" s="1" t="s">
        <v>292</v>
      </c>
      <c r="E23" s="1" t="s">
        <v>293</v>
      </c>
      <c r="F23" s="1" t="s">
        <v>294</v>
      </c>
      <c r="G23" s="1" t="s">
        <v>295</v>
      </c>
    </row>
    <row r="24" spans="2:7" ht="18" customHeight="1" x14ac:dyDescent="0.35">
      <c r="B24" s="31" t="s">
        <v>244</v>
      </c>
      <c r="C24" s="56">
        <v>0.15</v>
      </c>
      <c r="D24" s="57">
        <f t="shared" ref="D24:E31" si="2">D10</f>
        <v>3</v>
      </c>
      <c r="E24" s="57">
        <f t="shared" si="2"/>
        <v>4</v>
      </c>
      <c r="F24" s="58">
        <f>D24*0.15</f>
        <v>0.44999999999999996</v>
      </c>
      <c r="G24" s="59">
        <v>0.75</v>
      </c>
    </row>
    <row r="25" spans="2:7" ht="18" customHeight="1" x14ac:dyDescent="0.35">
      <c r="B25" s="33" t="s">
        <v>246</v>
      </c>
      <c r="C25" s="60">
        <v>0.12</v>
      </c>
      <c r="D25" s="57">
        <f t="shared" si="2"/>
        <v>4</v>
      </c>
      <c r="E25" s="57">
        <f t="shared" si="2"/>
        <v>5</v>
      </c>
      <c r="F25" s="61">
        <f>D25*0.12</f>
        <v>0.48</v>
      </c>
      <c r="G25" s="62">
        <v>0.48</v>
      </c>
    </row>
    <row r="26" spans="2:7" ht="18" customHeight="1" x14ac:dyDescent="0.35">
      <c r="B26" s="31" t="s">
        <v>248</v>
      </c>
      <c r="C26" s="56">
        <v>0.1</v>
      </c>
      <c r="D26" s="57">
        <f t="shared" si="2"/>
        <v>5</v>
      </c>
      <c r="E26" s="57">
        <f t="shared" si="2"/>
        <v>5</v>
      </c>
      <c r="F26" s="58">
        <f>D26*0.1</f>
        <v>0.5</v>
      </c>
      <c r="G26" s="59">
        <f>E26*0.1</f>
        <v>0.5</v>
      </c>
    </row>
    <row r="27" spans="2:7" ht="18" customHeight="1" x14ac:dyDescent="0.35">
      <c r="B27" s="33" t="s">
        <v>250</v>
      </c>
      <c r="C27" s="60">
        <v>0.15</v>
      </c>
      <c r="D27" s="57">
        <f t="shared" si="2"/>
        <v>3</v>
      </c>
      <c r="E27" s="57">
        <f t="shared" si="2"/>
        <v>4.5</v>
      </c>
      <c r="F27" s="61">
        <f t="shared" ref="F27:G29" si="3">D27*0.15</f>
        <v>0.44999999999999996</v>
      </c>
      <c r="G27" s="62">
        <v>0.6</v>
      </c>
    </row>
    <row r="28" spans="2:7" ht="18" customHeight="1" x14ac:dyDescent="0.35">
      <c r="B28" s="31" t="s">
        <v>251</v>
      </c>
      <c r="C28" s="56">
        <v>0.15</v>
      </c>
      <c r="D28" s="57">
        <f t="shared" si="2"/>
        <v>2</v>
      </c>
      <c r="E28" s="57">
        <f t="shared" si="2"/>
        <v>4</v>
      </c>
      <c r="F28" s="58">
        <f t="shared" si="3"/>
        <v>0.3</v>
      </c>
      <c r="G28" s="59">
        <f t="shared" si="3"/>
        <v>0.6</v>
      </c>
    </row>
    <row r="29" spans="2:7" ht="18" customHeight="1" x14ac:dyDescent="0.35">
      <c r="B29" s="33" t="s">
        <v>252</v>
      </c>
      <c r="C29" s="60">
        <v>0.15</v>
      </c>
      <c r="D29" s="57">
        <f t="shared" si="2"/>
        <v>4</v>
      </c>
      <c r="E29" s="57">
        <f t="shared" si="2"/>
        <v>4.5</v>
      </c>
      <c r="F29" s="61">
        <f t="shared" si="3"/>
        <v>0.6</v>
      </c>
      <c r="G29" s="62">
        <v>0.6</v>
      </c>
    </row>
    <row r="30" spans="2:7" ht="18" customHeight="1" x14ac:dyDescent="0.35">
      <c r="B30" s="31" t="s">
        <v>253</v>
      </c>
      <c r="C30" s="56">
        <v>0.08</v>
      </c>
      <c r="D30" s="57">
        <f t="shared" si="2"/>
        <v>4</v>
      </c>
      <c r="E30" s="57">
        <f t="shared" si="2"/>
        <v>4</v>
      </c>
      <c r="F30" s="58">
        <f>D30*0.08</f>
        <v>0.32</v>
      </c>
      <c r="G30" s="59">
        <v>0.24</v>
      </c>
    </row>
    <row r="31" spans="2:7" ht="18" customHeight="1" x14ac:dyDescent="0.35">
      <c r="B31" s="33" t="s">
        <v>255</v>
      </c>
      <c r="C31" s="60">
        <v>0.1</v>
      </c>
      <c r="D31" s="57">
        <f t="shared" si="2"/>
        <v>5</v>
      </c>
      <c r="E31" s="57">
        <f t="shared" si="2"/>
        <v>5</v>
      </c>
      <c r="F31" s="61">
        <f>D31*0.1</f>
        <v>0.5</v>
      </c>
      <c r="G31" s="62">
        <f>E31*0.1</f>
        <v>0.5</v>
      </c>
    </row>
    <row r="32" spans="2:7" ht="9.75" customHeight="1" x14ac:dyDescent="0.35"/>
    <row r="33" spans="2:7" ht="15.75" customHeight="1" x14ac:dyDescent="0.35">
      <c r="B33" s="120" t="s">
        <v>296</v>
      </c>
      <c r="C33" s="120"/>
      <c r="D33" s="120"/>
      <c r="E33" s="120"/>
      <c r="F33" s="120"/>
      <c r="G33" s="120"/>
    </row>
    <row r="34" spans="2:7" ht="19.5" customHeight="1" x14ac:dyDescent="0.35">
      <c r="B34" s="122" t="s">
        <v>749</v>
      </c>
      <c r="C34" s="122"/>
      <c r="D34" s="122"/>
      <c r="E34" s="122"/>
      <c r="F34" s="122"/>
      <c r="G34" s="122"/>
    </row>
    <row r="35" spans="2:7" ht="19.5" customHeight="1" x14ac:dyDescent="0.35">
      <c r="B35" s="122"/>
      <c r="C35" s="122"/>
      <c r="D35" s="122"/>
      <c r="E35" s="122"/>
      <c r="F35" s="122"/>
      <c r="G35" s="122"/>
    </row>
    <row r="36" spans="2:7" ht="9.75" customHeight="1" x14ac:dyDescent="0.35"/>
    <row r="37" spans="2:7" ht="15.75" customHeight="1" x14ac:dyDescent="0.35">
      <c r="B37" s="120" t="s">
        <v>297</v>
      </c>
      <c r="C37" s="120"/>
      <c r="D37" s="120"/>
      <c r="E37" s="120"/>
      <c r="F37" s="120"/>
      <c r="G37" s="120"/>
    </row>
    <row r="38" spans="2:7" ht="18" customHeight="1" x14ac:dyDescent="0.35">
      <c r="B38" s="123" t="s">
        <v>298</v>
      </c>
      <c r="C38" s="123"/>
      <c r="D38" s="123"/>
      <c r="E38" s="123" t="s">
        <v>299</v>
      </c>
      <c r="F38" s="123"/>
      <c r="G38" s="4" t="s">
        <v>300</v>
      </c>
    </row>
    <row r="39" spans="2:7" ht="24" customHeight="1" x14ac:dyDescent="0.35">
      <c r="B39" s="124" t="s">
        <v>301</v>
      </c>
      <c r="C39" s="124"/>
      <c r="D39" s="124"/>
      <c r="E39" s="125" t="s">
        <v>302</v>
      </c>
      <c r="F39" s="125"/>
      <c r="G39" s="63" t="s">
        <v>303</v>
      </c>
    </row>
    <row r="40" spans="2:7" ht="24" customHeight="1" x14ac:dyDescent="0.35">
      <c r="B40" s="126" t="s">
        <v>304</v>
      </c>
      <c r="C40" s="126"/>
      <c r="D40" s="126"/>
      <c r="E40" s="125" t="s">
        <v>305</v>
      </c>
      <c r="F40" s="125"/>
      <c r="G40" s="63" t="s">
        <v>303</v>
      </c>
    </row>
    <row r="41" spans="2:7" ht="24" customHeight="1" x14ac:dyDescent="0.35">
      <c r="B41" s="124" t="s">
        <v>306</v>
      </c>
      <c r="C41" s="124"/>
      <c r="D41" s="124"/>
      <c r="E41" s="125" t="s">
        <v>307</v>
      </c>
      <c r="F41" s="125"/>
      <c r="G41" s="63" t="s">
        <v>308</v>
      </c>
    </row>
    <row r="42" spans="2:7" ht="24" customHeight="1" x14ac:dyDescent="0.35">
      <c r="B42" s="126" t="s">
        <v>309</v>
      </c>
      <c r="C42" s="126"/>
      <c r="D42" s="126"/>
      <c r="E42" s="125" t="s">
        <v>310</v>
      </c>
      <c r="F42" s="125"/>
      <c r="G42" s="63" t="s">
        <v>311</v>
      </c>
    </row>
    <row r="43" spans="2:7" ht="24" customHeight="1" x14ac:dyDescent="0.35">
      <c r="B43" s="124" t="s">
        <v>312</v>
      </c>
      <c r="C43" s="124"/>
      <c r="D43" s="124"/>
      <c r="E43" s="125" t="s">
        <v>313</v>
      </c>
      <c r="F43" s="125"/>
      <c r="G43" s="63" t="s">
        <v>311</v>
      </c>
    </row>
    <row r="44" spans="2:7" ht="9.75" customHeight="1" x14ac:dyDescent="0.35"/>
    <row r="45" spans="2:7" ht="15.75" customHeight="1" x14ac:dyDescent="0.35">
      <c r="B45" s="120" t="s">
        <v>314</v>
      </c>
      <c r="C45" s="120"/>
      <c r="D45" s="120"/>
      <c r="E45" s="120"/>
      <c r="F45" s="120"/>
      <c r="G45" s="120"/>
    </row>
    <row r="46" spans="2:7" ht="15.75" customHeight="1" x14ac:dyDescent="0.35">
      <c r="B46" s="120" t="s">
        <v>315</v>
      </c>
      <c r="C46" s="120"/>
      <c r="D46" s="120"/>
      <c r="E46" s="120"/>
      <c r="F46" s="120"/>
      <c r="G46" s="120"/>
    </row>
    <row r="47" spans="2:7" ht="18" customHeight="1" x14ac:dyDescent="0.35">
      <c r="B47" s="127" t="s">
        <v>729</v>
      </c>
      <c r="C47" s="127"/>
      <c r="D47" s="127"/>
      <c r="E47" s="127"/>
      <c r="F47" s="127"/>
      <c r="G47" s="127"/>
    </row>
    <row r="48" spans="2:7" ht="18" customHeight="1" x14ac:dyDescent="0.35">
      <c r="B48" s="127"/>
      <c r="C48" s="127"/>
      <c r="D48" s="127"/>
      <c r="E48" s="127"/>
      <c r="F48" s="127"/>
      <c r="G48" s="127"/>
    </row>
    <row r="49" spans="2:7" ht="18" customHeight="1" x14ac:dyDescent="0.35">
      <c r="B49" s="127"/>
      <c r="C49" s="127"/>
      <c r="D49" s="127"/>
      <c r="E49" s="127"/>
      <c r="F49" s="127"/>
      <c r="G49" s="127"/>
    </row>
    <row r="50" spans="2:7" ht="18" customHeight="1" x14ac:dyDescent="0.35">
      <c r="B50" s="127"/>
      <c r="C50" s="127"/>
      <c r="D50" s="127"/>
      <c r="E50" s="127"/>
      <c r="F50" s="127"/>
      <c r="G50" s="127"/>
    </row>
    <row r="51" spans="2:7" ht="15.75" customHeight="1" x14ac:dyDescent="0.35">
      <c r="B51" s="120" t="s">
        <v>316</v>
      </c>
      <c r="C51" s="120"/>
      <c r="D51" s="120"/>
      <c r="E51" s="120"/>
      <c r="F51" s="120"/>
      <c r="G51" s="120"/>
    </row>
    <row r="52" spans="2:7" ht="18" customHeight="1" x14ac:dyDescent="0.35">
      <c r="B52" s="127" t="s">
        <v>730</v>
      </c>
      <c r="C52" s="127"/>
      <c r="D52" s="127"/>
      <c r="E52" s="127"/>
      <c r="F52" s="127"/>
      <c r="G52" s="127"/>
    </row>
    <row r="53" spans="2:7" ht="18" customHeight="1" x14ac:dyDescent="0.35">
      <c r="B53" s="127"/>
      <c r="C53" s="127"/>
      <c r="D53" s="127"/>
      <c r="E53" s="127"/>
      <c r="F53" s="127"/>
      <c r="G53" s="127"/>
    </row>
    <row r="54" spans="2:7" ht="18" customHeight="1" x14ac:dyDescent="0.35">
      <c r="B54" s="127"/>
      <c r="C54" s="127"/>
      <c r="D54" s="127"/>
      <c r="E54" s="127"/>
      <c r="F54" s="127"/>
      <c r="G54" s="127"/>
    </row>
    <row r="55" spans="2:7" ht="18" customHeight="1" x14ac:dyDescent="0.35">
      <c r="B55" s="127"/>
      <c r="C55" s="127"/>
      <c r="D55" s="127"/>
      <c r="E55" s="127"/>
      <c r="F55" s="127"/>
      <c r="G55" s="127"/>
    </row>
    <row r="56" spans="2:7" ht="15.75" customHeight="1" x14ac:dyDescent="0.35">
      <c r="B56" s="120" t="s">
        <v>317</v>
      </c>
      <c r="C56" s="120"/>
      <c r="D56" s="120"/>
      <c r="E56" s="120"/>
      <c r="F56" s="120"/>
      <c r="G56" s="120"/>
    </row>
    <row r="57" spans="2:7" ht="18" customHeight="1" x14ac:dyDescent="0.35">
      <c r="B57" s="127" t="s">
        <v>732</v>
      </c>
      <c r="C57" s="127"/>
      <c r="D57" s="127"/>
      <c r="E57" s="127"/>
      <c r="F57" s="127"/>
      <c r="G57" s="127"/>
    </row>
    <row r="58" spans="2:7" ht="18" customHeight="1" x14ac:dyDescent="0.35">
      <c r="B58" s="127"/>
      <c r="C58" s="127"/>
      <c r="D58" s="127"/>
      <c r="E58" s="127"/>
      <c r="F58" s="127"/>
      <c r="G58" s="127"/>
    </row>
    <row r="59" spans="2:7" ht="18" customHeight="1" x14ac:dyDescent="0.35">
      <c r="B59" s="127"/>
      <c r="C59" s="127"/>
      <c r="D59" s="127"/>
      <c r="E59" s="127"/>
      <c r="F59" s="127"/>
      <c r="G59" s="127"/>
    </row>
    <row r="60" spans="2:7" ht="18" customHeight="1" x14ac:dyDescent="0.35">
      <c r="B60" s="127"/>
      <c r="C60" s="127"/>
      <c r="D60" s="127"/>
      <c r="E60" s="127"/>
      <c r="F60" s="127"/>
      <c r="G60" s="127"/>
    </row>
    <row r="61" spans="2:7" ht="15.75" customHeight="1" x14ac:dyDescent="0.35">
      <c r="B61" s="120" t="s">
        <v>318</v>
      </c>
      <c r="C61" s="120"/>
      <c r="D61" s="120"/>
      <c r="E61" s="120"/>
      <c r="F61" s="120"/>
      <c r="G61" s="120"/>
    </row>
    <row r="62" spans="2:7" ht="18" customHeight="1" x14ac:dyDescent="0.35">
      <c r="B62" s="127" t="s">
        <v>733</v>
      </c>
      <c r="C62" s="127"/>
      <c r="D62" s="127"/>
      <c r="E62" s="127"/>
      <c r="F62" s="127"/>
      <c r="G62" s="127"/>
    </row>
    <row r="63" spans="2:7" ht="18" customHeight="1" x14ac:dyDescent="0.35">
      <c r="B63" s="127"/>
      <c r="C63" s="127"/>
      <c r="D63" s="127"/>
      <c r="E63" s="127"/>
      <c r="F63" s="127"/>
      <c r="G63" s="127"/>
    </row>
    <row r="64" spans="2:7" ht="18" customHeight="1" x14ac:dyDescent="0.35">
      <c r="B64" s="127"/>
      <c r="C64" s="127"/>
      <c r="D64" s="127"/>
      <c r="E64" s="127"/>
      <c r="F64" s="127"/>
      <c r="G64" s="127"/>
    </row>
    <row r="65" spans="2:8" ht="18" customHeight="1" x14ac:dyDescent="0.35">
      <c r="B65" s="127"/>
      <c r="C65" s="127"/>
      <c r="D65" s="127"/>
      <c r="E65" s="127"/>
      <c r="F65" s="127"/>
      <c r="G65" s="127"/>
    </row>
    <row r="69" spans="2:8" ht="15" thickBot="1" x14ac:dyDescent="0.4"/>
    <row r="70" spans="2:8" ht="28.5" thickBot="1" x14ac:dyDescent="0.4">
      <c r="F70" s="116" t="s">
        <v>280</v>
      </c>
      <c r="G70" s="116" t="s">
        <v>542</v>
      </c>
      <c r="H70" s="116" t="s">
        <v>543</v>
      </c>
    </row>
    <row r="71" spans="2:8" ht="15" thickBot="1" x14ac:dyDescent="0.4">
      <c r="F71" s="117" t="s">
        <v>485</v>
      </c>
      <c r="G71" s="117">
        <v>3</v>
      </c>
      <c r="H71" s="117">
        <v>4</v>
      </c>
    </row>
    <row r="72" spans="2:8" ht="15" thickBot="1" x14ac:dyDescent="0.4">
      <c r="F72" s="117" t="s">
        <v>489</v>
      </c>
      <c r="G72" s="117">
        <v>4</v>
      </c>
      <c r="H72" s="117">
        <v>5</v>
      </c>
    </row>
    <row r="73" spans="2:8" ht="15" thickBot="1" x14ac:dyDescent="0.4">
      <c r="F73" s="117" t="s">
        <v>493</v>
      </c>
      <c r="G73" s="117">
        <v>5</v>
      </c>
      <c r="H73" s="117">
        <v>5</v>
      </c>
    </row>
    <row r="74" spans="2:8" ht="15" thickBot="1" x14ac:dyDescent="0.4">
      <c r="F74" s="117" t="s">
        <v>497</v>
      </c>
      <c r="G74" s="117">
        <v>3</v>
      </c>
      <c r="H74" s="117">
        <v>4.5</v>
      </c>
    </row>
    <row r="75" spans="2:8" ht="15" thickBot="1" x14ac:dyDescent="0.4">
      <c r="F75" s="117" t="s">
        <v>335</v>
      </c>
      <c r="G75" s="117">
        <v>2</v>
      </c>
      <c r="H75" s="117">
        <v>4</v>
      </c>
    </row>
    <row r="76" spans="2:8" ht="15" thickBot="1" x14ac:dyDescent="0.4">
      <c r="F76" s="117" t="s">
        <v>331</v>
      </c>
      <c r="G76" s="117">
        <v>4</v>
      </c>
      <c r="H76" s="117">
        <v>4.5</v>
      </c>
    </row>
    <row r="77" spans="2:8" ht="15" thickBot="1" x14ac:dyDescent="0.4">
      <c r="F77" s="117" t="s">
        <v>507</v>
      </c>
      <c r="G77" s="117">
        <v>4</v>
      </c>
      <c r="H77" s="117">
        <v>4</v>
      </c>
    </row>
    <row r="78" spans="2:8" ht="15" thickBot="1" x14ac:dyDescent="0.4">
      <c r="F78" s="117" t="s">
        <v>511</v>
      </c>
      <c r="G78" s="117">
        <v>5</v>
      </c>
      <c r="H78" s="117">
        <v>5</v>
      </c>
    </row>
  </sheetData>
  <mergeCells count="31">
    <mergeCell ref="B56:G56"/>
    <mergeCell ref="B57:G60"/>
    <mergeCell ref="B61:G61"/>
    <mergeCell ref="B62:G65"/>
    <mergeCell ref="B45:G45"/>
    <mergeCell ref="B46:G46"/>
    <mergeCell ref="B47:G50"/>
    <mergeCell ref="B51:G51"/>
    <mergeCell ref="B52:G55"/>
    <mergeCell ref="B41:D41"/>
    <mergeCell ref="E41:F41"/>
    <mergeCell ref="B42:D42"/>
    <mergeCell ref="E42:F42"/>
    <mergeCell ref="B43:D43"/>
    <mergeCell ref="E43:F43"/>
    <mergeCell ref="B38:D38"/>
    <mergeCell ref="E38:F38"/>
    <mergeCell ref="B39:D39"/>
    <mergeCell ref="E39:F39"/>
    <mergeCell ref="B40:D40"/>
    <mergeCell ref="E40:F40"/>
    <mergeCell ref="B21:G21"/>
    <mergeCell ref="B22:G22"/>
    <mergeCell ref="B33:G33"/>
    <mergeCell ref="B34:G35"/>
    <mergeCell ref="B37:G37"/>
    <mergeCell ref="B1:G1"/>
    <mergeCell ref="B2:G2"/>
    <mergeCell ref="B4:G4"/>
    <mergeCell ref="B8:G8"/>
    <mergeCell ref="B19:C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1"/>
  <sheetViews>
    <sheetView showGridLines="0" tabSelected="1" topLeftCell="A47" zoomScale="82" zoomScaleNormal="100" workbookViewId="0">
      <selection activeCell="B51" sqref="B51:F51"/>
    </sheetView>
  </sheetViews>
  <sheetFormatPr defaultColWidth="8.6328125" defaultRowHeight="14.5" x14ac:dyDescent="0.35"/>
  <cols>
    <col min="1" max="1" width="3" customWidth="1"/>
    <col min="2" max="2" width="42.81640625" customWidth="1"/>
    <col min="3" max="3" width="20" customWidth="1"/>
    <col min="4" max="5" width="8" customWidth="1"/>
    <col min="6" max="6" width="115.81640625" customWidth="1"/>
    <col min="7" max="7" width="5" customWidth="1"/>
  </cols>
  <sheetData>
    <row r="1" spans="2:6" ht="31.5" customHeight="1" x14ac:dyDescent="0.35">
      <c r="B1" s="118" t="s">
        <v>319</v>
      </c>
      <c r="C1" s="118"/>
      <c r="D1" s="118"/>
      <c r="E1" s="118"/>
      <c r="F1" s="118"/>
    </row>
    <row r="2" spans="2:6" ht="18" customHeight="1" x14ac:dyDescent="0.35">
      <c r="B2" s="119" t="s">
        <v>320</v>
      </c>
      <c r="C2" s="119"/>
      <c r="D2" s="119"/>
      <c r="E2" s="119"/>
      <c r="F2" s="119"/>
    </row>
    <row r="3" spans="2:6" ht="9.75" customHeight="1" x14ac:dyDescent="0.35"/>
    <row r="4" spans="2:6" ht="15.75" customHeight="1" x14ac:dyDescent="0.35">
      <c r="B4" s="120" t="s">
        <v>321</v>
      </c>
      <c r="C4" s="120"/>
      <c r="D4" s="120"/>
      <c r="E4" s="120"/>
      <c r="F4" s="120"/>
    </row>
    <row r="5" spans="2:6" ht="19.5" customHeight="1" x14ac:dyDescent="0.35">
      <c r="B5" s="141" t="s">
        <v>322</v>
      </c>
      <c r="C5" s="141"/>
      <c r="D5" s="141"/>
      <c r="E5" s="141"/>
      <c r="F5" s="141"/>
    </row>
    <row r="6" spans="2:6" ht="19.5" customHeight="1" x14ac:dyDescent="0.35">
      <c r="B6" s="141"/>
      <c r="C6" s="141"/>
      <c r="D6" s="141"/>
      <c r="E6" s="141"/>
      <c r="F6" s="141"/>
    </row>
    <row r="7" spans="2:6" ht="9.75" customHeight="1" x14ac:dyDescent="0.35"/>
    <row r="8" spans="2:6" ht="15.75" customHeight="1" x14ac:dyDescent="0.35">
      <c r="B8" s="120" t="s">
        <v>323</v>
      </c>
      <c r="C8" s="120"/>
      <c r="D8" s="120"/>
      <c r="E8" s="120"/>
      <c r="F8" s="120"/>
    </row>
    <row r="9" spans="2:6" ht="18" customHeight="1" x14ac:dyDescent="0.35">
      <c r="B9" s="64" t="s">
        <v>324</v>
      </c>
      <c r="C9" s="64" t="s">
        <v>325</v>
      </c>
      <c r="D9" s="64" t="s">
        <v>326</v>
      </c>
      <c r="E9" s="64" t="s">
        <v>327</v>
      </c>
      <c r="F9" s="64" t="s">
        <v>328</v>
      </c>
    </row>
    <row r="10" spans="2:6" ht="36" customHeight="1" x14ac:dyDescent="0.35">
      <c r="B10" s="29" t="s">
        <v>329</v>
      </c>
      <c r="C10" s="65" t="s">
        <v>330</v>
      </c>
      <c r="D10" s="65" t="s">
        <v>17</v>
      </c>
      <c r="E10" s="65" t="s">
        <v>331</v>
      </c>
      <c r="F10" s="65" t="s">
        <v>332</v>
      </c>
    </row>
    <row r="11" spans="2:6" ht="36" customHeight="1" x14ac:dyDescent="0.35">
      <c r="B11" s="29" t="s">
        <v>333</v>
      </c>
      <c r="C11" s="65" t="s">
        <v>334</v>
      </c>
      <c r="D11" s="65" t="s">
        <v>18</v>
      </c>
      <c r="E11" s="65" t="s">
        <v>335</v>
      </c>
      <c r="F11" s="65" t="s">
        <v>336</v>
      </c>
    </row>
    <row r="12" spans="2:6" ht="36" customHeight="1" x14ac:dyDescent="0.35">
      <c r="B12" s="22" t="s">
        <v>337</v>
      </c>
      <c r="C12" s="66" t="s">
        <v>338</v>
      </c>
      <c r="D12" s="66" t="s">
        <v>18</v>
      </c>
      <c r="E12" s="66" t="s">
        <v>331</v>
      </c>
      <c r="F12" s="66" t="s">
        <v>339</v>
      </c>
    </row>
    <row r="13" spans="2:6" ht="9.75" customHeight="1" x14ac:dyDescent="0.35"/>
    <row r="14" spans="2:6" ht="15.75" customHeight="1" x14ac:dyDescent="0.35">
      <c r="B14" s="152" t="s">
        <v>340</v>
      </c>
      <c r="C14" s="152"/>
      <c r="D14" s="152"/>
      <c r="E14" s="152"/>
      <c r="F14" s="152"/>
    </row>
    <row r="15" spans="2:6" ht="21.75" customHeight="1" x14ac:dyDescent="0.35">
      <c r="B15" s="199" t="s">
        <v>341</v>
      </c>
      <c r="C15" s="199"/>
      <c r="D15" s="199"/>
      <c r="E15" s="199"/>
      <c r="F15" s="199"/>
    </row>
    <row r="16" spans="2:6" ht="15.75" customHeight="1" x14ac:dyDescent="0.35">
      <c r="B16" s="104" t="s">
        <v>45</v>
      </c>
      <c r="C16" s="199" t="s">
        <v>342</v>
      </c>
      <c r="D16" s="199"/>
      <c r="E16" s="199"/>
      <c r="F16" s="199"/>
    </row>
    <row r="17" spans="2:6" ht="18" customHeight="1" x14ac:dyDescent="0.35">
      <c r="B17" s="200" t="s">
        <v>46</v>
      </c>
      <c r="C17" s="201" t="s">
        <v>542</v>
      </c>
      <c r="D17" s="201"/>
      <c r="E17" s="201"/>
      <c r="F17" s="201"/>
    </row>
    <row r="18" spans="2:6" ht="18" customHeight="1" x14ac:dyDescent="0.35">
      <c r="B18" s="200" t="s">
        <v>343</v>
      </c>
      <c r="C18" s="201" t="s">
        <v>734</v>
      </c>
      <c r="D18" s="201"/>
      <c r="E18" s="201"/>
      <c r="F18" s="201"/>
    </row>
    <row r="19" spans="2:6" ht="15.75" customHeight="1" x14ac:dyDescent="0.35">
      <c r="B19" s="200" t="s">
        <v>344</v>
      </c>
      <c r="C19" s="201" t="s">
        <v>335</v>
      </c>
      <c r="D19" s="201"/>
      <c r="E19" s="201"/>
      <c r="F19" s="201"/>
    </row>
    <row r="20" spans="2:6" ht="15.75" customHeight="1" x14ac:dyDescent="0.35">
      <c r="B20" s="200" t="s">
        <v>345</v>
      </c>
      <c r="C20" s="201">
        <v>2</v>
      </c>
      <c r="D20" s="201"/>
      <c r="E20" s="201"/>
      <c r="F20" s="201"/>
    </row>
    <row r="21" spans="2:6" ht="15.75" customHeight="1" x14ac:dyDescent="0.35">
      <c r="B21" s="200" t="s">
        <v>346</v>
      </c>
      <c r="C21" s="201">
        <v>4</v>
      </c>
      <c r="D21" s="201"/>
      <c r="E21" s="201"/>
      <c r="F21" s="201"/>
    </row>
    <row r="22" spans="2:6" ht="18" customHeight="1" x14ac:dyDescent="0.35">
      <c r="B22" s="200" t="s">
        <v>347</v>
      </c>
      <c r="C22" s="201" t="s">
        <v>735</v>
      </c>
      <c r="D22" s="201"/>
      <c r="E22" s="201"/>
      <c r="F22" s="201"/>
    </row>
    <row r="23" spans="2:6" ht="18" customHeight="1" x14ac:dyDescent="0.35">
      <c r="B23" s="200" t="s">
        <v>348</v>
      </c>
      <c r="C23" s="201" t="s">
        <v>736</v>
      </c>
      <c r="D23" s="201"/>
      <c r="E23" s="201"/>
      <c r="F23" s="201"/>
    </row>
    <row r="24" spans="2:6" ht="36" customHeight="1" x14ac:dyDescent="0.35">
      <c r="B24" s="200" t="s">
        <v>349</v>
      </c>
      <c r="C24" s="201" t="s">
        <v>737</v>
      </c>
      <c r="D24" s="201"/>
      <c r="E24" s="201"/>
      <c r="F24" s="201"/>
    </row>
    <row r="25" spans="2:6" ht="7.5" customHeight="1" x14ac:dyDescent="0.35"/>
    <row r="27" spans="2:6" ht="21.75" customHeight="1" x14ac:dyDescent="0.35">
      <c r="B27" s="199" t="s">
        <v>350</v>
      </c>
      <c r="C27" s="199"/>
      <c r="D27" s="199"/>
      <c r="E27" s="199"/>
      <c r="F27" s="199"/>
    </row>
    <row r="28" spans="2:6" ht="15.75" customHeight="1" x14ac:dyDescent="0.35">
      <c r="B28" s="104" t="s">
        <v>45</v>
      </c>
      <c r="C28" s="199" t="s">
        <v>342</v>
      </c>
      <c r="D28" s="199"/>
      <c r="E28" s="199"/>
      <c r="F28" s="199"/>
    </row>
    <row r="29" spans="2:6" ht="18" customHeight="1" x14ac:dyDescent="0.35">
      <c r="B29" s="200" t="s">
        <v>46</v>
      </c>
      <c r="C29" s="201" t="s">
        <v>542</v>
      </c>
      <c r="D29" s="201"/>
      <c r="E29" s="201"/>
      <c r="F29" s="201"/>
    </row>
    <row r="30" spans="2:6" ht="18" customHeight="1" x14ac:dyDescent="0.35">
      <c r="B30" s="200" t="s">
        <v>343</v>
      </c>
      <c r="C30" s="201" t="s">
        <v>738</v>
      </c>
      <c r="D30" s="201"/>
      <c r="E30" s="201"/>
      <c r="F30" s="201"/>
    </row>
    <row r="31" spans="2:6" ht="15.75" customHeight="1" x14ac:dyDescent="0.35">
      <c r="B31" s="200" t="s">
        <v>344</v>
      </c>
      <c r="C31" s="201" t="s">
        <v>497</v>
      </c>
      <c r="D31" s="201"/>
      <c r="E31" s="201"/>
      <c r="F31" s="201"/>
    </row>
    <row r="32" spans="2:6" ht="15.75" customHeight="1" x14ac:dyDescent="0.35">
      <c r="B32" s="200" t="s">
        <v>345</v>
      </c>
      <c r="C32" s="201">
        <v>3</v>
      </c>
      <c r="D32" s="201"/>
      <c r="E32" s="201"/>
      <c r="F32" s="201"/>
    </row>
    <row r="33" spans="2:6" ht="15.75" customHeight="1" x14ac:dyDescent="0.35">
      <c r="B33" s="200" t="s">
        <v>346</v>
      </c>
      <c r="C33" s="201">
        <v>5</v>
      </c>
      <c r="D33" s="201"/>
      <c r="E33" s="201"/>
      <c r="F33" s="201"/>
    </row>
    <row r="34" spans="2:6" ht="18" customHeight="1" x14ac:dyDescent="0.35">
      <c r="B34" s="200" t="s">
        <v>347</v>
      </c>
      <c r="C34" s="201" t="s">
        <v>739</v>
      </c>
      <c r="D34" s="201"/>
      <c r="E34" s="201"/>
      <c r="F34" s="201"/>
    </row>
    <row r="35" spans="2:6" ht="18" customHeight="1" x14ac:dyDescent="0.35">
      <c r="B35" s="200" t="s">
        <v>348</v>
      </c>
      <c r="C35" s="201" t="s">
        <v>740</v>
      </c>
      <c r="D35" s="201"/>
      <c r="E35" s="201"/>
      <c r="F35" s="201"/>
    </row>
    <row r="36" spans="2:6" ht="36" customHeight="1" x14ac:dyDescent="0.35">
      <c r="B36" s="200" t="s">
        <v>349</v>
      </c>
      <c r="C36" s="201" t="s">
        <v>741</v>
      </c>
      <c r="D36" s="201"/>
      <c r="E36" s="201"/>
      <c r="F36" s="201"/>
    </row>
    <row r="37" spans="2:6" ht="7.5" customHeight="1" x14ac:dyDescent="0.35"/>
    <row r="39" spans="2:6" ht="21.75" customHeight="1" x14ac:dyDescent="0.35">
      <c r="B39" s="202" t="s">
        <v>351</v>
      </c>
      <c r="C39" s="202"/>
      <c r="D39" s="202"/>
      <c r="E39" s="202"/>
      <c r="F39" s="202"/>
    </row>
    <row r="40" spans="2:6" ht="15.75" customHeight="1" x14ac:dyDescent="0.35">
      <c r="B40" s="174" t="s">
        <v>45</v>
      </c>
      <c r="C40" s="202" t="s">
        <v>342</v>
      </c>
      <c r="D40" s="202"/>
      <c r="E40" s="202"/>
      <c r="F40" s="202"/>
    </row>
    <row r="41" spans="2:6" ht="18" customHeight="1" x14ac:dyDescent="0.35">
      <c r="B41" s="200" t="s">
        <v>46</v>
      </c>
      <c r="C41" s="201" t="s">
        <v>543</v>
      </c>
      <c r="D41" s="201"/>
      <c r="E41" s="201"/>
      <c r="F41" s="201"/>
    </row>
    <row r="42" spans="2:6" ht="18" customHeight="1" x14ac:dyDescent="0.35">
      <c r="B42" s="200" t="s">
        <v>343</v>
      </c>
      <c r="C42" s="201" t="s">
        <v>742</v>
      </c>
      <c r="D42" s="201"/>
      <c r="E42" s="201"/>
      <c r="F42" s="201"/>
    </row>
    <row r="43" spans="2:6" ht="15.75" customHeight="1" x14ac:dyDescent="0.35">
      <c r="B43" s="200" t="s">
        <v>344</v>
      </c>
      <c r="C43" s="201" t="s">
        <v>507</v>
      </c>
      <c r="D43" s="201"/>
      <c r="E43" s="201"/>
      <c r="F43" s="201"/>
    </row>
    <row r="44" spans="2:6" ht="15.75" customHeight="1" x14ac:dyDescent="0.35">
      <c r="B44" s="200" t="s">
        <v>345</v>
      </c>
      <c r="C44" s="201">
        <v>4</v>
      </c>
      <c r="D44" s="201"/>
      <c r="E44" s="201"/>
      <c r="F44" s="201"/>
    </row>
    <row r="45" spans="2:6" ht="15.75" customHeight="1" x14ac:dyDescent="0.35">
      <c r="B45" s="200" t="s">
        <v>346</v>
      </c>
      <c r="C45" s="201">
        <v>5</v>
      </c>
      <c r="D45" s="201"/>
      <c r="E45" s="201"/>
      <c r="F45" s="201"/>
    </row>
    <row r="46" spans="2:6" ht="18" customHeight="1" x14ac:dyDescent="0.35">
      <c r="B46" s="200" t="s">
        <v>347</v>
      </c>
      <c r="C46" s="201" t="s">
        <v>743</v>
      </c>
      <c r="D46" s="201"/>
      <c r="E46" s="201"/>
      <c r="F46" s="201"/>
    </row>
    <row r="47" spans="2:6" ht="18" customHeight="1" x14ac:dyDescent="0.35">
      <c r="B47" s="200" t="s">
        <v>348</v>
      </c>
      <c r="C47" s="201" t="s">
        <v>744</v>
      </c>
      <c r="D47" s="201"/>
      <c r="E47" s="201"/>
      <c r="F47" s="201"/>
    </row>
    <row r="48" spans="2:6" ht="36" customHeight="1" x14ac:dyDescent="0.35">
      <c r="B48" s="200" t="s">
        <v>349</v>
      </c>
      <c r="C48" s="201"/>
      <c r="D48" s="201"/>
      <c r="E48" s="201"/>
      <c r="F48" s="201"/>
    </row>
    <row r="49" spans="2:6" ht="7.5" customHeight="1" x14ac:dyDescent="0.35"/>
    <row r="51" spans="2:6" ht="21.75" customHeight="1" x14ac:dyDescent="0.35">
      <c r="B51" s="202" t="s">
        <v>352</v>
      </c>
      <c r="C51" s="202"/>
      <c r="D51" s="202"/>
      <c r="E51" s="202"/>
      <c r="F51" s="202"/>
    </row>
    <row r="52" spans="2:6" ht="15.75" customHeight="1" x14ac:dyDescent="0.35">
      <c r="B52" s="174" t="s">
        <v>45</v>
      </c>
      <c r="C52" s="202" t="s">
        <v>342</v>
      </c>
      <c r="D52" s="202"/>
      <c r="E52" s="202"/>
      <c r="F52" s="202"/>
    </row>
    <row r="53" spans="2:6" ht="18" customHeight="1" x14ac:dyDescent="0.35">
      <c r="B53" s="200" t="s">
        <v>46</v>
      </c>
      <c r="C53" s="201" t="s">
        <v>543</v>
      </c>
      <c r="D53" s="201"/>
      <c r="E53" s="201"/>
      <c r="F53" s="201"/>
    </row>
    <row r="54" spans="2:6" ht="18" customHeight="1" x14ac:dyDescent="0.35">
      <c r="B54" s="200" t="s">
        <v>343</v>
      </c>
      <c r="C54" s="201" t="s">
        <v>745</v>
      </c>
      <c r="D54" s="201"/>
      <c r="E54" s="201"/>
      <c r="F54" s="201"/>
    </row>
    <row r="55" spans="2:6" ht="15.75" customHeight="1" x14ac:dyDescent="0.35">
      <c r="B55" s="200" t="s">
        <v>344</v>
      </c>
      <c r="C55" s="201" t="s">
        <v>489</v>
      </c>
      <c r="D55" s="201"/>
      <c r="E55" s="201"/>
      <c r="F55" s="201"/>
    </row>
    <row r="56" spans="2:6" ht="15.75" customHeight="1" x14ac:dyDescent="0.35">
      <c r="B56" s="200" t="s">
        <v>345</v>
      </c>
      <c r="C56" s="201">
        <v>4</v>
      </c>
      <c r="D56" s="201"/>
      <c r="E56" s="201"/>
      <c r="F56" s="201"/>
    </row>
    <row r="57" spans="2:6" ht="15.75" customHeight="1" x14ac:dyDescent="0.35">
      <c r="B57" s="200" t="s">
        <v>346</v>
      </c>
      <c r="C57" s="201">
        <v>5</v>
      </c>
      <c r="D57" s="201"/>
      <c r="E57" s="201"/>
      <c r="F57" s="201"/>
    </row>
    <row r="58" spans="2:6" ht="18" customHeight="1" x14ac:dyDescent="0.35">
      <c r="B58" s="200" t="s">
        <v>347</v>
      </c>
      <c r="C58" s="201" t="s">
        <v>746</v>
      </c>
      <c r="D58" s="201"/>
      <c r="E58" s="201"/>
      <c r="F58" s="201"/>
    </row>
    <row r="59" spans="2:6" ht="18" customHeight="1" x14ac:dyDescent="0.35">
      <c r="B59" s="200" t="s">
        <v>348</v>
      </c>
      <c r="C59" s="201" t="s">
        <v>747</v>
      </c>
      <c r="D59" s="201"/>
      <c r="E59" s="201"/>
      <c r="F59" s="201"/>
    </row>
    <row r="60" spans="2:6" ht="36" customHeight="1" x14ac:dyDescent="0.35">
      <c r="B60" s="200" t="s">
        <v>349</v>
      </c>
      <c r="C60" s="201" t="s">
        <v>748</v>
      </c>
      <c r="D60" s="201"/>
      <c r="E60" s="201"/>
      <c r="F60" s="201"/>
    </row>
    <row r="61" spans="2:6" ht="7.5" customHeight="1" x14ac:dyDescent="0.35"/>
  </sheetData>
  <mergeCells count="46">
    <mergeCell ref="C60:F60"/>
    <mergeCell ref="C55:F55"/>
    <mergeCell ref="C56:F56"/>
    <mergeCell ref="C57:F57"/>
    <mergeCell ref="C58:F58"/>
    <mergeCell ref="C59:F59"/>
    <mergeCell ref="C48:F48"/>
    <mergeCell ref="B51:F51"/>
    <mergeCell ref="C52:F52"/>
    <mergeCell ref="C53:F53"/>
    <mergeCell ref="C54:F54"/>
    <mergeCell ref="C43:F43"/>
    <mergeCell ref="C44:F44"/>
    <mergeCell ref="C45:F45"/>
    <mergeCell ref="C46:F46"/>
    <mergeCell ref="C47:F47"/>
    <mergeCell ref="C36:F36"/>
    <mergeCell ref="B39:F39"/>
    <mergeCell ref="C40:F40"/>
    <mergeCell ref="C41:F41"/>
    <mergeCell ref="C42:F42"/>
    <mergeCell ref="C31:F31"/>
    <mergeCell ref="C32:F32"/>
    <mergeCell ref="C33:F33"/>
    <mergeCell ref="C34:F34"/>
    <mergeCell ref="C35:F35"/>
    <mergeCell ref="C24:F24"/>
    <mergeCell ref="B27:F27"/>
    <mergeCell ref="C28:F28"/>
    <mergeCell ref="C29:F29"/>
    <mergeCell ref="C30:F30"/>
    <mergeCell ref="C19:F19"/>
    <mergeCell ref="C20:F20"/>
    <mergeCell ref="C21:F21"/>
    <mergeCell ref="C22:F22"/>
    <mergeCell ref="C23:F23"/>
    <mergeCell ref="B14:F14"/>
    <mergeCell ref="B15:F15"/>
    <mergeCell ref="C16:F16"/>
    <mergeCell ref="C17:F17"/>
    <mergeCell ref="C18:F18"/>
    <mergeCell ref="B1:F1"/>
    <mergeCell ref="B2:F2"/>
    <mergeCell ref="B4:F4"/>
    <mergeCell ref="B5:F6"/>
    <mergeCell ref="B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1"/>
  <sheetViews>
    <sheetView showGridLines="0" topLeftCell="A13" zoomScaleNormal="100" workbookViewId="0">
      <selection activeCell="D9" sqref="D9"/>
    </sheetView>
  </sheetViews>
  <sheetFormatPr defaultColWidth="8.6328125" defaultRowHeight="14.5" x14ac:dyDescent="0.35"/>
  <cols>
    <col min="1" max="1" width="3" customWidth="1"/>
    <col min="2" max="2" width="8" customWidth="1"/>
    <col min="3" max="3" width="30" customWidth="1"/>
    <col min="4" max="4" width="36" customWidth="1"/>
    <col min="5" max="5" width="14" customWidth="1"/>
    <col min="6" max="6" width="5" customWidth="1"/>
  </cols>
  <sheetData>
    <row r="1" spans="2:5" ht="31.5" customHeight="1" x14ac:dyDescent="0.35">
      <c r="B1" s="118" t="s">
        <v>353</v>
      </c>
      <c r="C1" s="118"/>
      <c r="D1" s="118"/>
      <c r="E1" s="118"/>
    </row>
    <row r="2" spans="2:5" ht="18" customHeight="1" x14ac:dyDescent="0.35">
      <c r="B2" s="131" t="s">
        <v>354</v>
      </c>
      <c r="C2" s="131"/>
      <c r="D2" s="131"/>
      <c r="E2" s="131"/>
    </row>
    <row r="3" spans="2:5" ht="9.75" customHeight="1" x14ac:dyDescent="0.35"/>
    <row r="4" spans="2:5" ht="19.5" customHeight="1" x14ac:dyDescent="0.35">
      <c r="B4" s="20" t="s">
        <v>355</v>
      </c>
      <c r="C4" s="20" t="s">
        <v>356</v>
      </c>
      <c r="D4" s="20" t="s">
        <v>357</v>
      </c>
      <c r="E4" s="20" t="s">
        <v>358</v>
      </c>
    </row>
    <row r="5" spans="2:5" ht="36" customHeight="1" x14ac:dyDescent="0.35">
      <c r="B5" s="23" t="s">
        <v>57</v>
      </c>
      <c r="C5" s="23" t="s">
        <v>359</v>
      </c>
      <c r="D5" s="24" t="s">
        <v>360</v>
      </c>
      <c r="E5" s="24" t="s">
        <v>361</v>
      </c>
    </row>
    <row r="6" spans="2:5" ht="36" customHeight="1" x14ac:dyDescent="0.35">
      <c r="B6" s="33" t="s">
        <v>60</v>
      </c>
      <c r="C6" s="33" t="s">
        <v>362</v>
      </c>
      <c r="D6" s="2" t="s">
        <v>363</v>
      </c>
      <c r="E6" s="2" t="s">
        <v>364</v>
      </c>
    </row>
    <row r="7" spans="2:5" ht="36" customHeight="1" x14ac:dyDescent="0.35">
      <c r="B7" s="31" t="s">
        <v>62</v>
      </c>
      <c r="C7" s="31" t="s">
        <v>365</v>
      </c>
      <c r="D7" s="3" t="s">
        <v>366</v>
      </c>
      <c r="E7" s="3" t="s">
        <v>367</v>
      </c>
    </row>
    <row r="8" spans="2:5" ht="36" customHeight="1" x14ac:dyDescent="0.35">
      <c r="B8" s="33" t="s">
        <v>64</v>
      </c>
      <c r="C8" s="33" t="s">
        <v>368</v>
      </c>
      <c r="D8" s="2" t="s">
        <v>369</v>
      </c>
      <c r="E8" s="2" t="s">
        <v>370</v>
      </c>
    </row>
    <row r="9" spans="2:5" ht="36" customHeight="1" x14ac:dyDescent="0.35">
      <c r="B9" s="31" t="s">
        <v>67</v>
      </c>
      <c r="C9" s="31" t="s">
        <v>371</v>
      </c>
      <c r="D9" s="3" t="s">
        <v>372</v>
      </c>
      <c r="E9" s="3" t="s">
        <v>373</v>
      </c>
    </row>
    <row r="10" spans="2:5" ht="36" customHeight="1" x14ac:dyDescent="0.35">
      <c r="B10" s="33" t="s">
        <v>69</v>
      </c>
      <c r="C10" s="33" t="s">
        <v>303</v>
      </c>
      <c r="D10" s="2" t="s">
        <v>374</v>
      </c>
      <c r="E10" s="2" t="s">
        <v>375</v>
      </c>
    </row>
    <row r="11" spans="2:5" ht="36" customHeight="1" x14ac:dyDescent="0.35">
      <c r="B11" s="23" t="s">
        <v>376</v>
      </c>
      <c r="C11" s="23" t="s">
        <v>308</v>
      </c>
      <c r="D11" s="24" t="s">
        <v>377</v>
      </c>
      <c r="E11" s="24" t="s">
        <v>373</v>
      </c>
    </row>
    <row r="12" spans="2:5" ht="9.75" customHeight="1" x14ac:dyDescent="0.35"/>
    <row r="13" spans="2:5" ht="15.75" customHeight="1" x14ac:dyDescent="0.35">
      <c r="B13" s="120" t="s">
        <v>378</v>
      </c>
      <c r="C13" s="120"/>
      <c r="D13" s="120"/>
      <c r="E13" s="120"/>
    </row>
    <row r="14" spans="2:5" ht="18" customHeight="1" x14ac:dyDescent="0.35">
      <c r="B14" s="64" t="s">
        <v>379</v>
      </c>
      <c r="C14" s="64" t="s">
        <v>380</v>
      </c>
      <c r="D14" s="64" t="s">
        <v>381</v>
      </c>
      <c r="E14" s="64"/>
    </row>
    <row r="15" spans="2:5" ht="27.75" customHeight="1" x14ac:dyDescent="0.35">
      <c r="B15" s="67" t="s">
        <v>382</v>
      </c>
      <c r="C15" s="3" t="s">
        <v>383</v>
      </c>
      <c r="D15" s="142" t="s">
        <v>384</v>
      </c>
      <c r="E15" s="142"/>
    </row>
    <row r="16" spans="2:5" ht="27.75" customHeight="1" x14ac:dyDescent="0.35">
      <c r="B16" s="67" t="s">
        <v>385</v>
      </c>
      <c r="C16" s="2" t="s">
        <v>386</v>
      </c>
      <c r="D16" s="142" t="s">
        <v>387</v>
      </c>
      <c r="E16" s="142"/>
    </row>
    <row r="17" spans="2:5" ht="27.75" customHeight="1" x14ac:dyDescent="0.35">
      <c r="B17" s="67" t="s">
        <v>388</v>
      </c>
      <c r="C17" s="3" t="s">
        <v>389</v>
      </c>
      <c r="D17" s="142" t="s">
        <v>390</v>
      </c>
      <c r="E17" s="142"/>
    </row>
    <row r="18" spans="2:5" ht="27.75" customHeight="1" x14ac:dyDescent="0.35">
      <c r="B18" s="67" t="s">
        <v>391</v>
      </c>
      <c r="C18" s="2" t="s">
        <v>392</v>
      </c>
      <c r="D18" s="142" t="s">
        <v>393</v>
      </c>
      <c r="E18" s="142"/>
    </row>
    <row r="19" spans="2:5" ht="27.75" customHeight="1" x14ac:dyDescent="0.35">
      <c r="B19" s="67" t="s">
        <v>394</v>
      </c>
      <c r="C19" s="3" t="s">
        <v>395</v>
      </c>
      <c r="D19" s="142" t="s">
        <v>396</v>
      </c>
      <c r="E19" s="142"/>
    </row>
    <row r="20" spans="2:5" ht="27.75" customHeight="1" x14ac:dyDescent="0.35">
      <c r="B20" s="67" t="s">
        <v>397</v>
      </c>
      <c r="C20" s="2" t="s">
        <v>398</v>
      </c>
      <c r="D20" s="142" t="s">
        <v>399</v>
      </c>
      <c r="E20" s="142"/>
    </row>
    <row r="21" spans="2:5" ht="27.75" customHeight="1" x14ac:dyDescent="0.35">
      <c r="B21" s="67" t="s">
        <v>400</v>
      </c>
      <c r="C21" s="3" t="s">
        <v>401</v>
      </c>
      <c r="D21" s="142" t="s">
        <v>402</v>
      </c>
      <c r="E21" s="142"/>
    </row>
  </sheetData>
  <mergeCells count="10">
    <mergeCell ref="D17:E17"/>
    <mergeCell ref="D18:E18"/>
    <mergeCell ref="D19:E19"/>
    <mergeCell ref="D20:E20"/>
    <mergeCell ref="D21:E21"/>
    <mergeCell ref="B1:E1"/>
    <mergeCell ref="B2:E2"/>
    <mergeCell ref="B13:E13"/>
    <mergeCell ref="D15:E15"/>
    <mergeCell ref="D16:E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6"/>
  <sheetViews>
    <sheetView showGridLines="0" topLeftCell="A11" zoomScaleNormal="100" workbookViewId="0"/>
  </sheetViews>
  <sheetFormatPr defaultColWidth="8.6328125" defaultRowHeight="14.5" x14ac:dyDescent="0.35"/>
  <cols>
    <col min="1" max="1" width="3" customWidth="1"/>
    <col min="2" max="2" width="22" customWidth="1"/>
    <col min="3" max="3" width="8" customWidth="1"/>
    <col min="4" max="7" width="20" customWidth="1"/>
    <col min="8" max="8" width="5" customWidth="1"/>
  </cols>
  <sheetData>
    <row r="1" spans="2:7" ht="31.5" customHeight="1" x14ac:dyDescent="0.35">
      <c r="B1" s="118" t="s">
        <v>403</v>
      </c>
      <c r="C1" s="118"/>
      <c r="D1" s="118"/>
      <c r="E1" s="118"/>
      <c r="F1" s="118"/>
      <c r="G1" s="118"/>
    </row>
    <row r="2" spans="2:7" ht="18" customHeight="1" x14ac:dyDescent="0.35">
      <c r="B2" s="131" t="s">
        <v>404</v>
      </c>
      <c r="C2" s="131"/>
      <c r="D2" s="131"/>
      <c r="E2" s="131"/>
      <c r="F2" s="131"/>
      <c r="G2" s="131"/>
    </row>
    <row r="3" spans="2:7" ht="9.75" customHeight="1" x14ac:dyDescent="0.35"/>
    <row r="4" spans="2:7" ht="15.75" customHeight="1" x14ac:dyDescent="0.35">
      <c r="B4" s="120" t="s">
        <v>405</v>
      </c>
      <c r="C4" s="120"/>
      <c r="D4" s="120"/>
      <c r="E4" s="120"/>
      <c r="F4" s="120"/>
      <c r="G4" s="120"/>
    </row>
    <row r="5" spans="2:7" ht="24" customHeight="1" x14ac:dyDescent="0.35">
      <c r="B5" s="20" t="s">
        <v>406</v>
      </c>
      <c r="C5" s="20" t="s">
        <v>407</v>
      </c>
      <c r="D5" s="20" t="s">
        <v>241</v>
      </c>
      <c r="E5" s="20" t="s">
        <v>408</v>
      </c>
      <c r="F5" s="20" t="s">
        <v>409</v>
      </c>
      <c r="G5" s="20" t="s">
        <v>410</v>
      </c>
    </row>
    <row r="6" spans="2:7" ht="48" customHeight="1" x14ac:dyDescent="0.35">
      <c r="B6" s="23" t="s">
        <v>411</v>
      </c>
      <c r="C6" s="23">
        <v>3</v>
      </c>
      <c r="D6" s="23" t="s">
        <v>412</v>
      </c>
      <c r="E6" s="21" t="s">
        <v>413</v>
      </c>
      <c r="F6" s="26" t="s">
        <v>414</v>
      </c>
      <c r="G6" s="30" t="s">
        <v>415</v>
      </c>
    </row>
    <row r="7" spans="2:7" ht="48" customHeight="1" x14ac:dyDescent="0.35">
      <c r="B7" s="22" t="s">
        <v>416</v>
      </c>
      <c r="C7" s="22">
        <v>3</v>
      </c>
      <c r="D7" s="22" t="s">
        <v>412</v>
      </c>
      <c r="E7" s="21" t="s">
        <v>417</v>
      </c>
      <c r="F7" s="26" t="s">
        <v>418</v>
      </c>
      <c r="G7" s="30" t="s">
        <v>419</v>
      </c>
    </row>
    <row r="8" spans="2:7" ht="48" customHeight="1" x14ac:dyDescent="0.35">
      <c r="B8" s="25" t="s">
        <v>420</v>
      </c>
      <c r="C8" s="25">
        <v>2</v>
      </c>
      <c r="D8" s="25" t="s">
        <v>421</v>
      </c>
      <c r="E8" s="21" t="s">
        <v>422</v>
      </c>
      <c r="F8" s="26" t="s">
        <v>423</v>
      </c>
      <c r="G8" s="30" t="s">
        <v>424</v>
      </c>
    </row>
    <row r="9" spans="2:7" ht="48" customHeight="1" x14ac:dyDescent="0.35">
      <c r="B9" s="68" t="s">
        <v>425</v>
      </c>
      <c r="C9" s="68">
        <v>3</v>
      </c>
      <c r="D9" s="68" t="s">
        <v>412</v>
      </c>
      <c r="E9" s="21" t="s">
        <v>426</v>
      </c>
      <c r="F9" s="26" t="s">
        <v>427</v>
      </c>
      <c r="G9" s="30" t="s">
        <v>428</v>
      </c>
    </row>
    <row r="10" spans="2:7" ht="48" customHeight="1" x14ac:dyDescent="0.35">
      <c r="B10" s="31" t="s">
        <v>429</v>
      </c>
      <c r="C10" s="31">
        <v>2</v>
      </c>
      <c r="D10" s="31" t="s">
        <v>421</v>
      </c>
      <c r="E10" s="21" t="s">
        <v>430</v>
      </c>
      <c r="F10" s="26" t="s">
        <v>431</v>
      </c>
      <c r="G10" s="30" t="s">
        <v>432</v>
      </c>
    </row>
    <row r="11" spans="2:7" ht="48" customHeight="1" x14ac:dyDescent="0.35">
      <c r="B11" s="33" t="s">
        <v>433</v>
      </c>
      <c r="C11" s="33">
        <v>1</v>
      </c>
      <c r="D11" s="33" t="s">
        <v>434</v>
      </c>
      <c r="E11" s="21" t="s">
        <v>435</v>
      </c>
      <c r="F11" s="26" t="s">
        <v>436</v>
      </c>
      <c r="G11" s="30" t="s">
        <v>437</v>
      </c>
    </row>
    <row r="12" spans="2:7" ht="48" customHeight="1" x14ac:dyDescent="0.35">
      <c r="B12" s="23" t="s">
        <v>438</v>
      </c>
      <c r="C12" s="23">
        <v>1</v>
      </c>
      <c r="D12" s="23" t="s">
        <v>434</v>
      </c>
      <c r="E12" s="21" t="s">
        <v>439</v>
      </c>
      <c r="F12" s="26" t="s">
        <v>440</v>
      </c>
      <c r="G12" s="30" t="s">
        <v>441</v>
      </c>
    </row>
    <row r="13" spans="2:7" ht="24" customHeight="1" x14ac:dyDescent="0.35">
      <c r="B13" s="143" t="s">
        <v>442</v>
      </c>
      <c r="C13" s="143"/>
      <c r="D13" s="143"/>
      <c r="E13" s="69">
        <f>SUM(C6:C12)</f>
        <v>15</v>
      </c>
      <c r="F13" s="143" t="s">
        <v>443</v>
      </c>
      <c r="G13" s="143"/>
    </row>
    <row r="14" spans="2:7" ht="9.75" customHeight="1" x14ac:dyDescent="0.35"/>
    <row r="15" spans="2:7" ht="15.75" customHeight="1" x14ac:dyDescent="0.35">
      <c r="B15" s="120" t="s">
        <v>444</v>
      </c>
      <c r="C15" s="120"/>
      <c r="D15" s="120"/>
      <c r="E15" s="120"/>
      <c r="F15" s="120"/>
      <c r="G15" s="120"/>
    </row>
    <row r="16" spans="2:7" ht="18" customHeight="1" x14ac:dyDescent="0.35">
      <c r="B16" s="20" t="s">
        <v>407</v>
      </c>
      <c r="C16" s="20" t="s">
        <v>445</v>
      </c>
      <c r="D16" s="20" t="s">
        <v>446</v>
      </c>
      <c r="E16" s="20"/>
      <c r="F16" s="20"/>
      <c r="G16" s="20"/>
    </row>
    <row r="17" spans="2:7" ht="24" customHeight="1" x14ac:dyDescent="0.35">
      <c r="B17" s="70" t="s">
        <v>447</v>
      </c>
      <c r="C17" s="22" t="s">
        <v>448</v>
      </c>
      <c r="D17" s="144" t="s">
        <v>449</v>
      </c>
      <c r="E17" s="144"/>
      <c r="F17" s="144"/>
      <c r="G17" s="144"/>
    </row>
    <row r="18" spans="2:7" ht="24" customHeight="1" x14ac:dyDescent="0.35">
      <c r="B18" s="71" t="s">
        <v>450</v>
      </c>
      <c r="C18" s="23" t="s">
        <v>451</v>
      </c>
      <c r="D18" s="145" t="s">
        <v>452</v>
      </c>
      <c r="E18" s="145"/>
      <c r="F18" s="145"/>
      <c r="G18" s="145"/>
    </row>
    <row r="19" spans="2:7" ht="24" customHeight="1" x14ac:dyDescent="0.35">
      <c r="B19" s="72" t="s">
        <v>453</v>
      </c>
      <c r="C19" s="25" t="s">
        <v>454</v>
      </c>
      <c r="D19" s="146" t="s">
        <v>455</v>
      </c>
      <c r="E19" s="146"/>
      <c r="F19" s="146"/>
      <c r="G19" s="146"/>
    </row>
    <row r="20" spans="2:7" ht="24" customHeight="1" x14ac:dyDescent="0.35">
      <c r="B20" s="73" t="s">
        <v>456</v>
      </c>
      <c r="C20" s="27" t="s">
        <v>457</v>
      </c>
      <c r="D20" s="147" t="s">
        <v>458</v>
      </c>
      <c r="E20" s="147"/>
      <c r="F20" s="147"/>
      <c r="G20" s="147"/>
    </row>
    <row r="21" spans="2:7" ht="24" customHeight="1" x14ac:dyDescent="0.35">
      <c r="B21" s="74" t="s">
        <v>459</v>
      </c>
      <c r="C21" s="29" t="s">
        <v>460</v>
      </c>
      <c r="D21" s="148" t="s">
        <v>461</v>
      </c>
      <c r="E21" s="148"/>
      <c r="F21" s="148"/>
      <c r="G21" s="148"/>
    </row>
    <row r="22" spans="2:7" ht="9.75" customHeight="1" x14ac:dyDescent="0.35"/>
    <row r="23" spans="2:7" ht="15.75" customHeight="1" x14ac:dyDescent="0.35">
      <c r="B23" s="120" t="s">
        <v>462</v>
      </c>
      <c r="C23" s="120"/>
      <c r="D23" s="120"/>
      <c r="E23" s="120"/>
      <c r="F23" s="120"/>
      <c r="G23" s="120"/>
    </row>
    <row r="24" spans="2:7" ht="18" customHeight="1" x14ac:dyDescent="0.35">
      <c r="B24" s="20" t="s">
        <v>53</v>
      </c>
      <c r="C24" s="149" t="s">
        <v>178</v>
      </c>
      <c r="D24" s="149"/>
      <c r="E24" s="20"/>
      <c r="F24" s="20" t="s">
        <v>463</v>
      </c>
      <c r="G24" s="20" t="s">
        <v>407</v>
      </c>
    </row>
    <row r="25" spans="2:7" ht="19.5" customHeight="1" x14ac:dyDescent="0.35">
      <c r="B25" s="46" t="s">
        <v>57</v>
      </c>
      <c r="C25" s="140" t="s">
        <v>464</v>
      </c>
      <c r="D25" s="140"/>
      <c r="E25" s="140"/>
      <c r="F25" s="47"/>
      <c r="G25" s="47"/>
    </row>
    <row r="26" spans="2:7" ht="19.5" customHeight="1" x14ac:dyDescent="0.35">
      <c r="B26" s="49" t="s">
        <v>60</v>
      </c>
      <c r="C26" s="125" t="s">
        <v>465</v>
      </c>
      <c r="D26" s="125"/>
      <c r="E26" s="125"/>
      <c r="F26" s="47"/>
      <c r="G26" s="47"/>
    </row>
    <row r="27" spans="2:7" ht="19.5" customHeight="1" x14ac:dyDescent="0.35">
      <c r="B27" s="46" t="s">
        <v>62</v>
      </c>
      <c r="C27" s="140" t="s">
        <v>466</v>
      </c>
      <c r="D27" s="140"/>
      <c r="E27" s="140"/>
      <c r="F27" s="47"/>
      <c r="G27" s="47"/>
    </row>
    <row r="28" spans="2:7" ht="19.5" customHeight="1" x14ac:dyDescent="0.35">
      <c r="B28" s="49" t="s">
        <v>64</v>
      </c>
      <c r="C28" s="125" t="s">
        <v>467</v>
      </c>
      <c r="D28" s="125"/>
      <c r="E28" s="125"/>
      <c r="F28" s="47"/>
      <c r="G28" s="47"/>
    </row>
    <row r="29" spans="2:7" ht="19.5" customHeight="1" x14ac:dyDescent="0.35">
      <c r="B29" s="46" t="s">
        <v>67</v>
      </c>
      <c r="C29" s="140" t="s">
        <v>468</v>
      </c>
      <c r="D29" s="140"/>
      <c r="E29" s="140"/>
      <c r="F29" s="47"/>
      <c r="G29" s="47"/>
    </row>
    <row r="30" spans="2:7" ht="19.5" customHeight="1" x14ac:dyDescent="0.35">
      <c r="B30" s="49" t="s">
        <v>69</v>
      </c>
      <c r="C30" s="125" t="s">
        <v>469</v>
      </c>
      <c r="D30" s="125"/>
      <c r="E30" s="125"/>
      <c r="F30" s="47"/>
      <c r="G30" s="47"/>
    </row>
    <row r="31" spans="2:7" ht="19.5" customHeight="1" x14ac:dyDescent="0.35">
      <c r="B31" s="46" t="s">
        <v>376</v>
      </c>
      <c r="C31" s="140" t="s">
        <v>470</v>
      </c>
      <c r="D31" s="140"/>
      <c r="E31" s="140"/>
      <c r="F31" s="47"/>
      <c r="G31" s="47"/>
    </row>
    <row r="32" spans="2:7" ht="19.5" customHeight="1" x14ac:dyDescent="0.35">
      <c r="B32" s="49" t="s">
        <v>471</v>
      </c>
      <c r="C32" s="125" t="s">
        <v>472</v>
      </c>
      <c r="D32" s="125"/>
      <c r="E32" s="125"/>
      <c r="F32" s="47"/>
      <c r="G32" s="47"/>
    </row>
    <row r="33" spans="2:7" ht="19.5" customHeight="1" x14ac:dyDescent="0.35">
      <c r="B33" s="46" t="s">
        <v>473</v>
      </c>
      <c r="C33" s="140" t="s">
        <v>474</v>
      </c>
      <c r="D33" s="140"/>
      <c r="E33" s="140"/>
      <c r="F33" s="47"/>
      <c r="G33" s="47"/>
    </row>
    <row r="34" spans="2:7" ht="19.5" customHeight="1" x14ac:dyDescent="0.35">
      <c r="B34" s="49" t="s">
        <v>475</v>
      </c>
      <c r="C34" s="125" t="s">
        <v>476</v>
      </c>
      <c r="D34" s="125"/>
      <c r="E34" s="125"/>
      <c r="F34" s="47"/>
      <c r="G34" s="47"/>
    </row>
    <row r="35" spans="2:7" ht="19.5" customHeight="1" x14ac:dyDescent="0.35">
      <c r="B35" s="46" t="s">
        <v>477</v>
      </c>
      <c r="C35" s="140" t="s">
        <v>478</v>
      </c>
      <c r="D35" s="140"/>
      <c r="E35" s="140"/>
      <c r="F35" s="47"/>
      <c r="G35" s="47"/>
    </row>
    <row r="36" spans="2:7" ht="19.5" customHeight="1" x14ac:dyDescent="0.35">
      <c r="B36" s="49" t="s">
        <v>479</v>
      </c>
      <c r="C36" s="125" t="s">
        <v>480</v>
      </c>
      <c r="D36" s="125"/>
      <c r="E36" s="125"/>
      <c r="F36" s="47"/>
      <c r="G36" s="47"/>
    </row>
  </sheetData>
  <mergeCells count="25">
    <mergeCell ref="C32:E32"/>
    <mergeCell ref="C33:E33"/>
    <mergeCell ref="C34:E34"/>
    <mergeCell ref="C35:E35"/>
    <mergeCell ref="C36:E36"/>
    <mergeCell ref="C27:E27"/>
    <mergeCell ref="C28:E28"/>
    <mergeCell ref="C29:E29"/>
    <mergeCell ref="C30:E30"/>
    <mergeCell ref="C31:E31"/>
    <mergeCell ref="D21:G21"/>
    <mergeCell ref="B23:G23"/>
    <mergeCell ref="C24:D24"/>
    <mergeCell ref="C25:E25"/>
    <mergeCell ref="C26:E26"/>
    <mergeCell ref="B15:G15"/>
    <mergeCell ref="D17:G17"/>
    <mergeCell ref="D18:G18"/>
    <mergeCell ref="D19:G19"/>
    <mergeCell ref="D20:G20"/>
    <mergeCell ref="B1:G1"/>
    <mergeCell ref="B2:G2"/>
    <mergeCell ref="B4:G4"/>
    <mergeCell ref="B13:D13"/>
    <mergeCell ref="F13:G1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6"/>
  <sheetViews>
    <sheetView showGridLines="0" topLeftCell="B186" zoomScaleNormal="100" workbookViewId="0">
      <selection activeCell="L25" sqref="L25"/>
    </sheetView>
  </sheetViews>
  <sheetFormatPr defaultColWidth="8.6328125" defaultRowHeight="14.5" x14ac:dyDescent="0.35"/>
  <cols>
    <col min="1" max="1" width="3" customWidth="1"/>
    <col min="2" max="2" width="5" customWidth="1"/>
    <col min="3" max="3" width="22" customWidth="1"/>
    <col min="4" max="5" width="20" customWidth="1"/>
    <col min="6" max="6" width="8" customWidth="1"/>
    <col min="7" max="7" width="22" customWidth="1"/>
    <col min="8" max="8" width="5" customWidth="1"/>
  </cols>
  <sheetData>
    <row r="1" spans="2:7" ht="31.5" customHeight="1" x14ac:dyDescent="0.35">
      <c r="B1" s="118" t="s">
        <v>481</v>
      </c>
      <c r="C1" s="118"/>
      <c r="D1" s="118"/>
      <c r="E1" s="118"/>
      <c r="F1" s="118"/>
      <c r="G1" s="118"/>
    </row>
    <row r="2" spans="2:7" ht="7.5" customHeight="1" x14ac:dyDescent="0.35"/>
    <row r="3" spans="2:7" ht="21.75" customHeight="1" x14ac:dyDescent="0.35">
      <c r="B3" s="20" t="s">
        <v>53</v>
      </c>
      <c r="C3" s="20" t="s">
        <v>291</v>
      </c>
      <c r="D3" s="20" t="s">
        <v>482</v>
      </c>
      <c r="E3" s="20" t="s">
        <v>483</v>
      </c>
      <c r="F3" s="20" t="s">
        <v>241</v>
      </c>
      <c r="G3" s="20" t="s">
        <v>484</v>
      </c>
    </row>
    <row r="4" spans="2:7" ht="42" customHeight="1" x14ac:dyDescent="0.35">
      <c r="B4" s="75">
        <v>1</v>
      </c>
      <c r="C4" s="76" t="s">
        <v>485</v>
      </c>
      <c r="D4" s="77" t="s">
        <v>486</v>
      </c>
      <c r="E4" s="23" t="s">
        <v>487</v>
      </c>
      <c r="F4" s="78" t="s">
        <v>245</v>
      </c>
      <c r="G4" s="2" t="s">
        <v>488</v>
      </c>
    </row>
    <row r="5" spans="2:7" ht="42" customHeight="1" x14ac:dyDescent="0.35">
      <c r="B5" s="79">
        <v>2</v>
      </c>
      <c r="C5" s="80" t="s">
        <v>489</v>
      </c>
      <c r="D5" s="81" t="s">
        <v>490</v>
      </c>
      <c r="E5" s="33" t="s">
        <v>491</v>
      </c>
      <c r="F5" s="82" t="s">
        <v>247</v>
      </c>
      <c r="G5" s="2" t="s">
        <v>492</v>
      </c>
    </row>
    <row r="6" spans="2:7" ht="42" customHeight="1" x14ac:dyDescent="0.35">
      <c r="B6" s="83">
        <v>3</v>
      </c>
      <c r="C6" s="84" t="s">
        <v>493</v>
      </c>
      <c r="D6" s="85" t="s">
        <v>494</v>
      </c>
      <c r="E6" s="68" t="s">
        <v>495</v>
      </c>
      <c r="F6" s="86" t="s">
        <v>249</v>
      </c>
      <c r="G6" s="2" t="s">
        <v>496</v>
      </c>
    </row>
    <row r="7" spans="2:7" ht="42" customHeight="1" x14ac:dyDescent="0.35">
      <c r="B7" s="51">
        <v>4</v>
      </c>
      <c r="C7" s="87" t="s">
        <v>497</v>
      </c>
      <c r="D7" s="88" t="s">
        <v>498</v>
      </c>
      <c r="E7" s="25" t="s">
        <v>499</v>
      </c>
      <c r="F7" s="89" t="s">
        <v>245</v>
      </c>
      <c r="G7" s="2" t="s">
        <v>500</v>
      </c>
    </row>
    <row r="8" spans="2:7" ht="42" customHeight="1" x14ac:dyDescent="0.35">
      <c r="B8" s="90">
        <v>5</v>
      </c>
      <c r="C8" s="91" t="s">
        <v>335</v>
      </c>
      <c r="D8" s="92" t="s">
        <v>501</v>
      </c>
      <c r="E8" s="31" t="s">
        <v>502</v>
      </c>
      <c r="F8" s="57" t="s">
        <v>245</v>
      </c>
      <c r="G8" s="2" t="s">
        <v>503</v>
      </c>
    </row>
    <row r="9" spans="2:7" ht="42" customHeight="1" x14ac:dyDescent="0.35">
      <c r="B9" s="93">
        <v>6</v>
      </c>
      <c r="C9" s="94" t="s">
        <v>331</v>
      </c>
      <c r="D9" s="95" t="s">
        <v>504</v>
      </c>
      <c r="E9" s="22" t="s">
        <v>505</v>
      </c>
      <c r="F9" s="96" t="s">
        <v>245</v>
      </c>
      <c r="G9" s="2" t="s">
        <v>506</v>
      </c>
    </row>
    <row r="10" spans="2:7" ht="42" customHeight="1" x14ac:dyDescent="0.35">
      <c r="B10" s="79">
        <v>7</v>
      </c>
      <c r="C10" s="80" t="s">
        <v>507</v>
      </c>
      <c r="D10" s="81" t="s">
        <v>508</v>
      </c>
      <c r="E10" s="33" t="s">
        <v>509</v>
      </c>
      <c r="F10" s="82" t="s">
        <v>254</v>
      </c>
      <c r="G10" s="2" t="s">
        <v>510</v>
      </c>
    </row>
    <row r="11" spans="2:7" ht="42" customHeight="1" x14ac:dyDescent="0.35">
      <c r="B11" s="75">
        <v>8</v>
      </c>
      <c r="C11" s="76" t="s">
        <v>511</v>
      </c>
      <c r="D11" s="77" t="s">
        <v>512</v>
      </c>
      <c r="E11" s="23" t="s">
        <v>513</v>
      </c>
      <c r="F11" s="78" t="s">
        <v>249</v>
      </c>
      <c r="G11" s="2" t="s">
        <v>514</v>
      </c>
    </row>
    <row r="12" spans="2:7" ht="9.75" customHeight="1" x14ac:dyDescent="0.35"/>
    <row r="13" spans="2:7" ht="15.75" customHeight="1" x14ac:dyDescent="0.35">
      <c r="B13" s="120" t="s">
        <v>515</v>
      </c>
      <c r="C13" s="120"/>
      <c r="D13" s="120"/>
      <c r="E13" s="120"/>
      <c r="F13" s="120"/>
      <c r="G13" s="120"/>
    </row>
    <row r="14" spans="2:7" ht="18" customHeight="1" x14ac:dyDescent="0.35">
      <c r="B14" s="4" t="s">
        <v>516</v>
      </c>
      <c r="C14" s="123" t="s">
        <v>517</v>
      </c>
      <c r="D14" s="123"/>
      <c r="E14" s="123"/>
      <c r="F14" s="123" t="s">
        <v>518</v>
      </c>
      <c r="G14" s="123"/>
    </row>
    <row r="15" spans="2:7" ht="30" customHeight="1" x14ac:dyDescent="0.35">
      <c r="B15" s="25" t="s">
        <v>519</v>
      </c>
      <c r="C15" s="140" t="s">
        <v>520</v>
      </c>
      <c r="D15" s="140"/>
      <c r="E15" s="140"/>
      <c r="F15" s="150" t="s">
        <v>521</v>
      </c>
      <c r="G15" s="150"/>
    </row>
    <row r="16" spans="2:7" ht="30" customHeight="1" x14ac:dyDescent="0.35">
      <c r="B16" s="25" t="s">
        <v>522</v>
      </c>
      <c r="C16" s="125" t="s">
        <v>523</v>
      </c>
      <c r="D16" s="125"/>
      <c r="E16" s="125"/>
      <c r="F16" s="150" t="s">
        <v>524</v>
      </c>
      <c r="G16" s="150"/>
    </row>
    <row r="17" spans="2:7" ht="30" customHeight="1" x14ac:dyDescent="0.35">
      <c r="B17" s="25" t="s">
        <v>525</v>
      </c>
      <c r="C17" s="140" t="s">
        <v>526</v>
      </c>
      <c r="D17" s="140"/>
      <c r="E17" s="140"/>
      <c r="F17" s="150" t="s">
        <v>527</v>
      </c>
      <c r="G17" s="150"/>
    </row>
    <row r="18" spans="2:7" ht="30" customHeight="1" x14ac:dyDescent="0.35">
      <c r="B18" s="25" t="s">
        <v>528</v>
      </c>
      <c r="C18" s="125" t="s">
        <v>529</v>
      </c>
      <c r="D18" s="125"/>
      <c r="E18" s="125"/>
      <c r="F18" s="150" t="s">
        <v>530</v>
      </c>
      <c r="G18" s="150"/>
    </row>
    <row r="19" spans="2:7" ht="9.75" customHeight="1" x14ac:dyDescent="0.35"/>
    <row r="20" spans="2:7" ht="15.75" customHeight="1" x14ac:dyDescent="0.35">
      <c r="B20" s="120" t="s">
        <v>531</v>
      </c>
      <c r="C20" s="120"/>
      <c r="D20" s="120"/>
      <c r="E20" s="120"/>
      <c r="F20" s="120"/>
      <c r="G20" s="120"/>
    </row>
    <row r="21" spans="2:7" ht="18" customHeight="1" x14ac:dyDescent="0.35">
      <c r="B21" s="20" t="s">
        <v>72</v>
      </c>
      <c r="C21" s="20" t="s">
        <v>73</v>
      </c>
      <c r="D21" s="149" t="s">
        <v>74</v>
      </c>
      <c r="E21" s="149"/>
      <c r="F21" s="149" t="s">
        <v>532</v>
      </c>
      <c r="G21" s="149"/>
    </row>
    <row r="22" spans="2:7" ht="24" customHeight="1" x14ac:dyDescent="0.35">
      <c r="B22" s="97">
        <v>5</v>
      </c>
      <c r="C22" s="70" t="s">
        <v>76</v>
      </c>
      <c r="D22" s="144" t="s">
        <v>77</v>
      </c>
      <c r="E22" s="144"/>
      <c r="F22" s="151" t="s">
        <v>78</v>
      </c>
      <c r="G22" s="151"/>
    </row>
    <row r="23" spans="2:7" ht="24" customHeight="1" x14ac:dyDescent="0.35">
      <c r="B23" s="98">
        <v>4</v>
      </c>
      <c r="C23" s="71" t="s">
        <v>79</v>
      </c>
      <c r="D23" s="145" t="s">
        <v>80</v>
      </c>
      <c r="E23" s="145"/>
      <c r="F23" s="151" t="s">
        <v>81</v>
      </c>
      <c r="G23" s="151"/>
    </row>
    <row r="24" spans="2:7" ht="24" customHeight="1" x14ac:dyDescent="0.35">
      <c r="B24" s="42">
        <v>3</v>
      </c>
      <c r="C24" s="72" t="s">
        <v>82</v>
      </c>
      <c r="D24" s="146" t="s">
        <v>83</v>
      </c>
      <c r="E24" s="146"/>
      <c r="F24" s="151" t="s">
        <v>84</v>
      </c>
      <c r="G24" s="151"/>
    </row>
    <row r="25" spans="2:7" ht="24" customHeight="1" x14ac:dyDescent="0.35">
      <c r="B25" s="99">
        <v>2</v>
      </c>
      <c r="C25" s="73" t="s">
        <v>85</v>
      </c>
      <c r="D25" s="147" t="s">
        <v>86</v>
      </c>
      <c r="E25" s="147"/>
      <c r="F25" s="151" t="s">
        <v>87</v>
      </c>
      <c r="G25" s="151"/>
    </row>
    <row r="26" spans="2:7" ht="24" customHeight="1" x14ac:dyDescent="0.35">
      <c r="B26" s="100">
        <v>1</v>
      </c>
      <c r="C26" s="74" t="s">
        <v>88</v>
      </c>
      <c r="D26" s="148" t="s">
        <v>89</v>
      </c>
      <c r="E26" s="148"/>
      <c r="F26" s="151" t="s">
        <v>90</v>
      </c>
      <c r="G26" s="151"/>
    </row>
  </sheetData>
  <mergeCells count="25">
    <mergeCell ref="D26:E26"/>
    <mergeCell ref="F26:G26"/>
    <mergeCell ref="D23:E23"/>
    <mergeCell ref="F23:G23"/>
    <mergeCell ref="D24:E24"/>
    <mergeCell ref="F24:G24"/>
    <mergeCell ref="D25:E25"/>
    <mergeCell ref="F25:G25"/>
    <mergeCell ref="B20:G20"/>
    <mergeCell ref="D21:E21"/>
    <mergeCell ref="F21:G21"/>
    <mergeCell ref="D22:E22"/>
    <mergeCell ref="F22:G22"/>
    <mergeCell ref="C16:E16"/>
    <mergeCell ref="F16:G16"/>
    <mergeCell ref="C17:E17"/>
    <mergeCell ref="F17:G17"/>
    <mergeCell ref="C18:E18"/>
    <mergeCell ref="F18:G18"/>
    <mergeCell ref="B1:G1"/>
    <mergeCell ref="B13:G13"/>
    <mergeCell ref="C14:E14"/>
    <mergeCell ref="F14:G14"/>
    <mergeCell ref="C15:E15"/>
    <mergeCell ref="F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 Session Setup</vt:lpstr>
      <vt:lpstr>📱 Structured — App 1</vt:lpstr>
      <vt:lpstr>📱 Structured — App 2</vt:lpstr>
      <vt:lpstr>App 1 (All 8)</vt:lpstr>
      <vt:lpstr>App 2 (All 8)</vt:lpstr>
      <vt:lpstr>📊 Comparative</vt:lpstr>
      <vt:lpstr>💡 Recommendations</vt:lpstr>
      <vt:lpstr>📄 Report Outline</vt:lpstr>
      <vt:lpstr>🏆 Grading Rubric</vt:lpstr>
      <vt:lpstr>📖 ISO 25010 Reference</vt:lpstr>
      <vt:lpst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FA21-BEE-080</cp:lastModifiedBy>
  <cp:revision>0</cp:revision>
  <dcterms:created xsi:type="dcterms:W3CDTF">2026-04-14T07:57:04Z</dcterms:created>
  <dcterms:modified xsi:type="dcterms:W3CDTF">2026-04-27T14:27:59Z</dcterms:modified>
  <dc:language>en-US</dc:language>
</cp:coreProperties>
</file>